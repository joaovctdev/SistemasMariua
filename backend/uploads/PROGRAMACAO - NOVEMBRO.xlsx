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o.almeida.MARIUA\Desktop\SistemasMariua\backend\uploads\"/>
    </mc:Choice>
  </mc:AlternateContent>
  <xr:revisionPtr revIDLastSave="0" documentId="13_ncr:1_{726F7680-734E-43E5-92BE-CFCDA07D2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GRAMACAO" sheetId="6" r:id="rId1"/>
    <sheet name="UTDNOVEMBRO" sheetId="4" r:id="rId2"/>
  </sheets>
  <definedNames>
    <definedName name="DadosExternos_1" localSheetId="0" hidden="1">PROGRAMACAO!$A$1:$P$57</definedName>
    <definedName name="DadosExternos_1" localSheetId="1" hidden="1">UTDNOVEMBRO!$A$1:$BO$87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U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Z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9AF17-E36D-41DE-AFBD-943B6046C054}" keepAlive="1" name="Consulta - pub?gid=1064752002&amp;single=true&amp;output=csv" description="Conexão com a consulta 'pub?gid=1064752002&amp;single=true&amp;output=csv' na pasta de trabalho." type="5" refreshedVersion="8" background="1" saveData="1">
    <dbPr connection="Provider=Microsoft.Mashup.OleDb.1;Data Source=$Workbook$;Location=&quot;pub?gid=1064752002&amp;single=true&amp;output=csv&quot;;Extended Properties=&quot;&quot;" command="SELECT * FROM [pub?gid=1064752002&amp;single=true&amp;output=csv]"/>
  </connection>
  <connection id="2" xr16:uid="{ED7A5ACC-F3BF-4DCD-A4E3-DA88A0EB4FAF}" keepAlive="1" name="Consulta - pub?gid=3738513&amp;single=true&amp;output=csv" description="Conexão com a consulta 'pub?gid=3738513&amp;single=true&amp;output=csv' na pasta de trabalho." type="5" refreshedVersion="8" background="1" saveData="1">
    <dbPr connection="Provider=Microsoft.Mashup.OleDb.1;Data Source=$Workbook$;Location=&quot;pub?gid=3738513&amp;single=true&amp;output=csv&quot;;Extended Properties=&quot;&quot;" command="SELECT * FROM [pub?gid=3738513&amp;single=true&amp;output=csv]"/>
  </connection>
</connections>
</file>

<file path=xl/sharedStrings.xml><?xml version="1.0" encoding="utf-8"?>
<sst xmlns="http://schemas.openxmlformats.org/spreadsheetml/2006/main" count="6695" uniqueCount="1599">
  <si>
    <t>ENCARREGADO</t>
  </si>
  <si>
    <t>SUPERVISOR</t>
  </si>
  <si>
    <t>PROJETO</t>
  </si>
  <si>
    <t>TITULO</t>
  </si>
  <si>
    <t>MUNICIPIO</t>
  </si>
  <si>
    <t>CRITÉRIO</t>
  </si>
  <si>
    <t>ANOTAÇÕES</t>
  </si>
  <si>
    <t>OBRA DA SEMANA</t>
  </si>
  <si>
    <t>NECESSIDADE</t>
  </si>
  <si>
    <t>PROGRAMAÇÃO LV</t>
  </si>
  <si>
    <t>LATITUDE</t>
  </si>
  <si>
    <t>LONGITUDE</t>
  </si>
  <si>
    <t>CLIENTES PREVISTOS</t>
  </si>
  <si>
    <t>PROJETO KIT</t>
  </si>
  <si>
    <t>PROJETO MEDIDOR</t>
  </si>
  <si>
    <t>AR COELBA</t>
  </si>
  <si>
    <t>VISITA PRÉVIA</t>
  </si>
  <si>
    <t>OBSERVAÇÃO DA VISITA</t>
  </si>
  <si>
    <t>ANÁLISE PRÉ FECH</t>
  </si>
  <si>
    <t>SOLICITAÇÃO DE RESERVA</t>
  </si>
  <si>
    <t>ALEX SANDRO</t>
  </si>
  <si>
    <t>DJALMA</t>
  </si>
  <si>
    <t>B-1214123</t>
  </si>
  <si>
    <t>IP-SEIN-RUA-JOAO DOURADO-NOVO CANAL</t>
  </si>
  <si>
    <t>JOÃO DOURADO</t>
  </si>
  <si>
    <t>GOVERNO</t>
  </si>
  <si>
    <t>54</t>
  </si>
  <si>
    <t>03/11/2025</t>
  </si>
  <si>
    <t>30/11/2025</t>
  </si>
  <si>
    <t>ATUANDO</t>
  </si>
  <si>
    <t>IRISMAR</t>
  </si>
  <si>
    <t>HIAGO</t>
  </si>
  <si>
    <t>B-1228719</t>
  </si>
  <si>
    <t>AC-CIND-POV-MORRINHO DE ARTURZINHO-RURAL</t>
  </si>
  <si>
    <t>CANARANA</t>
  </si>
  <si>
    <t>QLP</t>
  </si>
  <si>
    <t>ENERGIZADA</t>
  </si>
  <si>
    <t>1</t>
  </si>
  <si>
    <t>LV</t>
  </si>
  <si>
    <t>REALIZADO</t>
  </si>
  <si>
    <t>JAILSON</t>
  </si>
  <si>
    <t>B-1206961</t>
  </si>
  <si>
    <t>ER-CIND-POV-CAMPO FORMOSO-RURAL</t>
  </si>
  <si>
    <t>BARRO ALTO</t>
  </si>
  <si>
    <t>10</t>
  </si>
  <si>
    <t>11/11/2025</t>
  </si>
  <si>
    <t>9</t>
  </si>
  <si>
    <t>B-1232945</t>
  </si>
  <si>
    <t>ER-CIND-POV-ALEIXO-RURAL</t>
  </si>
  <si>
    <t>IBIPEBA</t>
  </si>
  <si>
    <t>JUDICIAL</t>
  </si>
  <si>
    <t>8</t>
  </si>
  <si>
    <t>05/11/2025</t>
  </si>
  <si>
    <t>06/11/2025</t>
  </si>
  <si>
    <t>4</t>
  </si>
  <si>
    <t>ALAN</t>
  </si>
  <si>
    <t>B-1099615</t>
  </si>
  <si>
    <t>ER-CIND-POV-PREVINIDO-RURAL</t>
  </si>
  <si>
    <t>AMÉRICA DOURADA</t>
  </si>
  <si>
    <t>REPUTACIONAL</t>
  </si>
  <si>
    <t>04/11/2025</t>
  </si>
  <si>
    <t>MARCOS PAULO</t>
  </si>
  <si>
    <t>B-1156355</t>
  </si>
  <si>
    <t>MP CIND POV DE CEDRO RURAL</t>
  </si>
  <si>
    <t>GENTIO DO OURO</t>
  </si>
  <si>
    <t>15</t>
  </si>
  <si>
    <t>10/11/2025</t>
  </si>
  <si>
    <t>12/11/2025</t>
  </si>
  <si>
    <t>EDILSON</t>
  </si>
  <si>
    <t>B-1227493</t>
  </si>
  <si>
    <t>ER-CIND-FAZ-S O JORGE-SOARES</t>
  </si>
  <si>
    <t>DP 18/11 - ADF INTERCALAR POSTE 12/600 N1 TT COM TR 30KvA EM REDE 3X04 13,8Kv</t>
  </si>
  <si>
    <t>13/11/2025</t>
  </si>
  <si>
    <t>18/11/2025</t>
  </si>
  <si>
    <t>PROGRAMADA</t>
  </si>
  <si>
    <t>DP</t>
  </si>
  <si>
    <t>0</t>
  </si>
  <si>
    <t>B-1152082</t>
  </si>
  <si>
    <t>AC - CIND POV ACHADO - RURAL</t>
  </si>
  <si>
    <t>DP 13/11 - ADF MT</t>
  </si>
  <si>
    <t>3</t>
  </si>
  <si>
    <t>DP/LV</t>
  </si>
  <si>
    <t>VANILSON</t>
  </si>
  <si>
    <t>B-1218109</t>
  </si>
  <si>
    <t>ER-CIND-POV-FLORESTA IRINEUS-RURAL</t>
  </si>
  <si>
    <t>JOÃO DOURADO</t>
  </si>
  <si>
    <t>N3 PRA N4 EM POSTE EXISTENTE EM REDE 2X04 13,8Kv</t>
  </si>
  <si>
    <t>19</t>
  </si>
  <si>
    <t>14</t>
  </si>
  <si>
    <t>B-1207659</t>
  </si>
  <si>
    <t>UB-CIND-POV-PENDAO VERMELHO-CENTRO</t>
  </si>
  <si>
    <t>14/11/2025</t>
  </si>
  <si>
    <t>19/11/2025</t>
  </si>
  <si>
    <t>B-1225231</t>
  </si>
  <si>
    <t>ER-CIND-POV-PENDAO VERMELHO-PENDAO VERME</t>
  </si>
  <si>
    <t>N3-3 PARA N4-3 EM POSTE EXISTENTE EM REDE 3X04 13,8Kv</t>
  </si>
  <si>
    <t>20/11/2025</t>
  </si>
  <si>
    <t>25/11/2025</t>
  </si>
  <si>
    <t>B-1210478</t>
  </si>
  <si>
    <t>ER-CIND-POV PIMENTA 147-PIMENTA</t>
  </si>
  <si>
    <t>CAFARNAUM</t>
  </si>
  <si>
    <t>N3-3 PARA N4-3 EM POSTE EXISTENTE EM REDE 2X04 13,8Kv</t>
  </si>
  <si>
    <t>26/11/2025</t>
  </si>
  <si>
    <t>B-1207274</t>
  </si>
  <si>
    <t>RR-CIND-FAZ-BOA VISTA-RURAL</t>
  </si>
  <si>
    <t>MORRO DO CHAPÉU</t>
  </si>
  <si>
    <t>12</t>
  </si>
  <si>
    <t>6</t>
  </si>
  <si>
    <t>WILIAN SILVA</t>
  </si>
  <si>
    <t>B-1227809</t>
  </si>
  <si>
    <t>ER-CIND-POV-ASSENTAMENTO SERRA AZUL-SERR</t>
  </si>
  <si>
    <t>29</t>
  </si>
  <si>
    <t>2</t>
  </si>
  <si>
    <t>B-1228895</t>
  </si>
  <si>
    <t>ER-CIND-POV-LADEIRA VERMELHA-RURAL</t>
  </si>
  <si>
    <t>FELIPE</t>
  </si>
  <si>
    <t>RENATO</t>
  </si>
  <si>
    <t>B-1227844</t>
  </si>
  <si>
    <t>AC-CIND-POV-PAU D ARCO 69-RURAL</t>
  </si>
  <si>
    <t>CENTRAL</t>
  </si>
  <si>
    <t>B-1228890</t>
  </si>
  <si>
    <t>ER-CIND-POV-ROCADINHO-RURAL</t>
  </si>
  <si>
    <t>ENES</t>
  </si>
  <si>
    <t>B-1231419</t>
  </si>
  <si>
    <t>ER-CIND-FAZ-BELA VISTA-RURAL</t>
  </si>
  <si>
    <t>PRESIDENTE DUTRA</t>
  </si>
  <si>
    <t>23</t>
  </si>
  <si>
    <t>JARBAS</t>
  </si>
  <si>
    <t>B-1214286</t>
  </si>
  <si>
    <t>ER-CIND-POV-MELADOR 25461-MELADOR</t>
  </si>
  <si>
    <t>DP 20/11  - ADF EM REDE 3X04 13,8Kv - TR 30KvA 34,5Kv</t>
  </si>
  <si>
    <t>B-1228814</t>
  </si>
  <si>
    <t>AC-CIND-POV-VELAME-RURAL</t>
  </si>
  <si>
    <t>DP 14/11 - ADF SUBSTITUIÇÃO DE TR 10KvA POR 30KvA E CONDUTOR DE BT</t>
  </si>
  <si>
    <t>EDIMILSON</t>
  </si>
  <si>
    <t>B-1228709</t>
  </si>
  <si>
    <t>ER-CIND-POV-LAGOA DO ESTEVAO-RURAL</t>
  </si>
  <si>
    <t>IBITITÁ</t>
  </si>
  <si>
    <t>B-1230299</t>
  </si>
  <si>
    <t>ER-CIND-POV-LAGEDAO-RURAL</t>
  </si>
  <si>
    <t>DP 14/11 - N3 PARA N3 EM REDE 3X04 13,8Kv</t>
  </si>
  <si>
    <t>41</t>
  </si>
  <si>
    <t>REVERTON</t>
  </si>
  <si>
    <t>B-1212255</t>
  </si>
  <si>
    <t>ER-CIND-POV-VARIANTE-RURAL</t>
  </si>
  <si>
    <t>SÃO GABRIEL</t>
  </si>
  <si>
    <t>7</t>
  </si>
  <si>
    <t>B-1226260</t>
  </si>
  <si>
    <t>ER-CIND-POV-MATA DO MILHO-CENTRO</t>
  </si>
  <si>
    <t>21</t>
  </si>
  <si>
    <t>17/11/2025</t>
  </si>
  <si>
    <t>B-1228556</t>
  </si>
  <si>
    <t>ER-CIND-POV-LAGOA DOS LUNDUS-RURAL</t>
  </si>
  <si>
    <t>13</t>
  </si>
  <si>
    <t>B-1228748</t>
  </si>
  <si>
    <t>AC-CIND-PR -DA IGREJA-RURAL</t>
  </si>
  <si>
    <t>LAPÃO</t>
  </si>
  <si>
    <t>ESMERALDO</t>
  </si>
  <si>
    <t>B-1229264</t>
  </si>
  <si>
    <t>ER-CIND-POV-LAGOA DO CHICO EDU-RURAL</t>
  </si>
  <si>
    <t>ITAGUAÇU DA BAHIA</t>
  </si>
  <si>
    <t>DP 17/11 - ADF EM TRECHO DE 2,5 KM</t>
  </si>
  <si>
    <t>B-1211158</t>
  </si>
  <si>
    <t>ER-CIND-FAZ-GUARANY-RURAL</t>
  </si>
  <si>
    <t>INTERCALAR POSTE 11/600 N1-B3M EM REDE 2X04 13,8Kv</t>
  </si>
  <si>
    <t>B-1228504</t>
  </si>
  <si>
    <t>ER-CIND-POV-DESCOBERTO-RURAL</t>
  </si>
  <si>
    <t>N3 PARA N4 EM POSTE EXISTENTE EM REDE 2X04 13,8Kv - MUDAR COD. CELA CRUZETA</t>
  </si>
  <si>
    <t>17</t>
  </si>
  <si>
    <t>B-1182565</t>
  </si>
  <si>
    <t>AC-COEL-RUA-ANTERO VIEIRA-CENTRO</t>
  </si>
  <si>
    <t>INSTITUCIONAL</t>
  </si>
  <si>
    <t>DP 18/11 - ADF N3 PARA N4 EM POSTE EXISTENTE EM REDE 3x04 13,8Kv</t>
  </si>
  <si>
    <t>GIORLAN</t>
  </si>
  <si>
    <t>B-1228726</t>
  </si>
  <si>
    <t>AC-CIND-POV-CAMAROTE-RURAL</t>
  </si>
  <si>
    <t>UIBAÍ</t>
  </si>
  <si>
    <t>B-1228821</t>
  </si>
  <si>
    <t>ER-CIND-POV-HIDROLANDIA-RURAL</t>
  </si>
  <si>
    <t>B-1011861</t>
  </si>
  <si>
    <t>IS-COEL-FAZ-SUELI-RURAL</t>
  </si>
  <si>
    <t>INTERV SEGURANÇA</t>
  </si>
  <si>
    <t>11</t>
  </si>
  <si>
    <t>B-1228949</t>
  </si>
  <si>
    <t>ER-CIND-POV-SAO JOAO-DO ZE DA PRETA</t>
  </si>
  <si>
    <t>N3 PARA N3 EM REDE 2X04 13,8Kv</t>
  </si>
  <si>
    <t>18</t>
  </si>
  <si>
    <t>B-1140811</t>
  </si>
  <si>
    <t>ER-CIND-POV-PLANALTO-RURAL</t>
  </si>
  <si>
    <t>27/11/2025</t>
  </si>
  <si>
    <t>B-1229074</t>
  </si>
  <si>
    <t>ER-CIND-POV-VARIANTE-RURAL SAO GABRIEL</t>
  </si>
  <si>
    <t xml:space="preserve">N3 PARA N4 EM POSTE EXISTENTE EM REDE 3x04 13.8Kv </t>
  </si>
  <si>
    <t>07/11/2025</t>
  </si>
  <si>
    <t>B-1227921</t>
  </si>
  <si>
    <t>ER-CIND-PR -VARIANTE II-RURAL</t>
  </si>
  <si>
    <t>5</t>
  </si>
  <si>
    <t>B-1228914</t>
  </si>
  <si>
    <t>ER-CIND-POV-CANOAOZINHO-RURAL</t>
  </si>
  <si>
    <t>B-1228616</t>
  </si>
  <si>
    <t>ER-CIND-POV-LICURI DO MULATINHO-RURAL</t>
  </si>
  <si>
    <t>DP 28/11 - ADF N3 PARA N4 EM POSTE EXISTENTE 3X1/0 13,8Kv</t>
  </si>
  <si>
    <t>28/11/2025</t>
  </si>
  <si>
    <t>B-1230240</t>
  </si>
  <si>
    <t>RR-CIND-POV-TABOA DO MOINHO-RURAL</t>
  </si>
  <si>
    <t>ELIEZER</t>
  </si>
  <si>
    <t>B-1231704</t>
  </si>
  <si>
    <t>ER-CIND-POV-ANGICOS-RURAL</t>
  </si>
  <si>
    <t>XIQUE-XIQUE</t>
  </si>
  <si>
    <t>B-1230875</t>
  </si>
  <si>
    <t>UB-CIND-RUA-HERMILINO MACHADO-URBANA</t>
  </si>
  <si>
    <t>BARRO ALTO</t>
  </si>
  <si>
    <t>B-1052871</t>
  </si>
  <si>
    <t>MP-CCOL-ET-MORRO DO HIGINO-RURAL</t>
  </si>
  <si>
    <t>JUSSARA</t>
  </si>
  <si>
    <t>48</t>
  </si>
  <si>
    <t>B-1201802</t>
  </si>
  <si>
    <t>RR-CIND-FAZ-PAU DARCO-RURAL</t>
  </si>
  <si>
    <t xml:space="preserve">N3M EM POSTE EXISTENTE EM REDE 2X04 13,8Kv </t>
  </si>
  <si>
    <t>24</t>
  </si>
  <si>
    <t>B-1234061</t>
  </si>
  <si>
    <t>IT-CIND-POV-CAFARNAUNZINHO-RURAL</t>
  </si>
  <si>
    <t>OBRA CARTERIA DE DEZEMBRO</t>
  </si>
  <si>
    <t>B-1233382</t>
  </si>
  <si>
    <t>ER-CIND-RUA-PERNAMBUCO-RURAL</t>
  </si>
  <si>
    <t>31</t>
  </si>
  <si>
    <t>21/11/2025</t>
  </si>
  <si>
    <t>B-1233352</t>
  </si>
  <si>
    <t>ER-CIND-POV-FELIX-RURAL</t>
  </si>
  <si>
    <t>B-1233323</t>
  </si>
  <si>
    <t>ER-CIND-RUA-PEDRO TELES-LOT CAFARNAUM</t>
  </si>
  <si>
    <t>B-1233152</t>
  </si>
  <si>
    <t>ER-CIND-POV-BARAUNAS 4678-BARAUNAS</t>
  </si>
  <si>
    <t>B-1233067</t>
  </si>
  <si>
    <t>ER-CIND-FAZ-LAGOA DA SERRA-RURAL MOD</t>
  </si>
  <si>
    <t>53</t>
  </si>
  <si>
    <t>B-1232761</t>
  </si>
  <si>
    <t>ER-CIND-RUA-JUSCELIA-CONQUISTA</t>
  </si>
  <si>
    <t>B-1232634</t>
  </si>
  <si>
    <t>ER-CIND-POV-BEBEDOURO DE ALMAS-ALMAS</t>
  </si>
  <si>
    <t>34</t>
  </si>
  <si>
    <t>B-1232632</t>
  </si>
  <si>
    <t>ER-CIND-POV-POCO GRANDE 325-RURAL</t>
  </si>
  <si>
    <t>BARRA DO MENDES</t>
  </si>
  <si>
    <t>B-1062322</t>
  </si>
  <si>
    <t>IS-DIST-POV CANARINA-RURAL</t>
  </si>
  <si>
    <t>B-0979203</t>
  </si>
  <si>
    <t>UB-CIND-AVN JOÃO DURVAL CARNEIRO-GAMELEI</t>
  </si>
  <si>
    <t>N/A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</si>
  <si>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</si>
  <si>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</si>
  <si>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</si>
  <si>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</si>
  <si>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</si>
  <si>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</si>
  <si>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</si>
  <si>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</si>
  <si>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</si>
  <si>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</si>
  <si>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</si>
  <si>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</si>
  <si>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</si>
  <si>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</si>
  <si>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</si>
  <si>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</si>
  <si>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</si>
  <si>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</si>
  <si>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</si>
  <si>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</si>
  <si>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</si>
  <si>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</si>
  <si>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</si>
  <si>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</si>
  <si>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</si>
  <si>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</si>
  <si>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</si>
  <si>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</si>
  <si>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</si>
  <si>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</si>
  <si>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</si>
  <si>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</si>
  <si>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</si>
  <si>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</si>
  <si>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</si>
  <si>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</si>
  <si>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</si>
  <si>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</si>
  <si>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</si>
  <si>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</si>
  <si>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</si>
  <si>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</si>
  <si>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</si>
  <si>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</si>
  <si>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</si>
  <si>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</si>
  <si>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</si>
  <si>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</si>
  <si>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</si>
  <si>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</si>
  <si>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</si>
  <si>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</si>
  <si>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</si>
  <si>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</si>
  <si>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</si>
  <si>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</si>
  <si>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</si>
  <si>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</si>
  <si>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</si>
  <si>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</si>
  <si>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</si>
  <si>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</si>
  <si>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</si>
  <si>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</si>
  <si>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</si>
  <si>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</si>
  <si>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</si>
  <si>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NOTA</t>
  </si>
  <si>
    <t>PEP OBRA</t>
  </si>
  <si>
    <t>PEP KIT</t>
  </si>
  <si>
    <t>PEP MED</t>
  </si>
  <si>
    <t>TÍTULO</t>
  </si>
  <si>
    <t>STATUS DA OBRA</t>
  </si>
  <si>
    <t>OBS STATUS</t>
  </si>
  <si>
    <t>AR
 COELBA</t>
  </si>
  <si>
    <t>PLANO
 INVESTIMENTO</t>
  </si>
  <si>
    <t>CRITERIO</t>
  </si>
  <si>
    <t>OBS. VISITA</t>
  </si>
  <si>
    <t>ANÁLISE
 PROJETO
 PRÉ-FECH.</t>
  </si>
  <si>
    <t>DATA SAQUE
 MATERIAIS</t>
  </si>
  <si>
    <t>PES
 LV</t>
  </si>
  <si>
    <t>VENCI.</t>
  </si>
  <si>
    <t>PES
LM</t>
  </si>
  <si>
    <t>PES
 ENERGIZAÇÃO</t>
  </si>
  <si>
    <t>VENCIMENTO</t>
  </si>
  <si>
    <t>PES
 PD</t>
  </si>
  <si>
    <t>DATA
 PD</t>
  </si>
  <si>
    <t>STATUS
 PES PD</t>
  </si>
  <si>
    <t>SI PG</t>
  </si>
  <si>
    <t>PG's</t>
  </si>
  <si>
    <t>CLIENTES
 PREVISTOS</t>
  </si>
  <si>
    <t>QTD. UC'S VALIDADAS LPT</t>
  </si>
  <si>
    <t>POSTES
 PREVISTOS</t>
  </si>
  <si>
    <t>CAVA REALIZADA</t>
  </si>
  <si>
    <t>POSTES
 REALIZADO</t>
  </si>
  <si>
    <t>POSTES
 À IMPLANTA</t>
  </si>
  <si>
    <t>AVNR</t>
  </si>
  <si>
    <t>AVNP</t>
  </si>
  <si>
    <t>INCIO
 PREVISTO</t>
  </si>
  <si>
    <t>FIM PREVISTO</t>
  </si>
  <si>
    <t>REPROGRAMAÇÃO FIM</t>
  </si>
  <si>
    <t>DATA
 ENERGIZAÇÃO REAL</t>
  </si>
  <si>
    <t>OC DE ENERG.</t>
  </si>
  <si>
    <t>PG
 REFERÊNCIA</t>
  </si>
  <si>
    <t>VALOR DE PROJETO</t>
  </si>
  <si>
    <t>VALOR DE SERVIÇO</t>
  </si>
  <si>
    <t>CÓDIGO
 EQUIPE</t>
  </si>
  <si>
    <t>PROVAVEL ROCHA</t>
  </si>
  <si>
    <t>CABO 1x25</t>
  </si>
  <si>
    <t>CABO 3x35</t>
  </si>
  <si>
    <t>OBS</t>
  </si>
  <si>
    <t>AVALIAÇÃO SERVIÇO</t>
  </si>
  <si>
    <t>SUBESTAÇÃO
 ALIMENTADOR</t>
  </si>
  <si>
    <t>CHAVE
PRINCIPAL</t>
  </si>
  <si>
    <t>CHAVE PD</t>
  </si>
  <si>
    <t>QTD. UC'S</t>
  </si>
  <si>
    <t>VIP</t>
  </si>
  <si>
    <t>QTD. H
 DP</t>
  </si>
  <si>
    <t>CHI</t>
  </si>
  <si>
    <t>LOCAIS 
 ATINGIDOS</t>
  </si>
  <si>
    <t>PG
REFERÊNCIA</t>
  </si>
  <si>
    <t>SERVIÇO</t>
  </si>
  <si>
    <t>RASCUNHO</t>
  </si>
  <si>
    <t>NÃO ELIMINAR ESTA COLUNA</t>
  </si>
  <si>
    <t>9101928484</t>
  </si>
  <si>
    <t>B-1231514</t>
  </si>
  <si>
    <t>B-1231533</t>
  </si>
  <si>
    <t>ALAN NUNES BARRETO - NTS415566</t>
  </si>
  <si>
    <t>DJALMA RIOS DA CRUZ - NTS411576</t>
  </si>
  <si>
    <t>JOSE ANTONIO SIMAS NETO - U349485</t>
  </si>
  <si>
    <t>PLANO 14.7.3 - LPT</t>
  </si>
  <si>
    <t>09/10/25</t>
  </si>
  <si>
    <t>EXISTE UMA OBRA JA EXECUTADA, POREM, NAO TEM TRAFO PARA ATENDER OS CLIENTES. VERIFICAR POSSIBILIDADE DE ATENDER CONFORME OS PONTOS.</t>
  </si>
  <si>
    <t>13/10/25</t>
  </si>
  <si>
    <t>27/10</t>
  </si>
  <si>
    <t>2025-132510</t>
  </si>
  <si>
    <t>01/12/2025</t>
  </si>
  <si>
    <t>2025-132525</t>
  </si>
  <si>
    <t>1040693</t>
  </si>
  <si>
    <t>E894510 AO E894522</t>
  </si>
  <si>
    <t>100%</t>
  </si>
  <si>
    <t>100,00%</t>
  </si>
  <si>
    <t>05/11/25</t>
  </si>
  <si>
    <t>2025-11-12297</t>
  </si>
  <si>
    <t>Q124271</t>
  </si>
  <si>
    <t>-11,440433</t>
  </si>
  <si>
    <t>-41,601552</t>
  </si>
  <si>
    <t>R$ 61.241,39</t>
  </si>
  <si>
    <t>R$ 18.769,22</t>
  </si>
  <si>
    <t>2366</t>
  </si>
  <si>
    <t>ADD-01W1</t>
  </si>
  <si>
    <t>J18598</t>
  </si>
  <si>
    <t>INTERCALAR POSTE AT COM N1-3 ENTRE OS PG: Q124271 - Q124272, FECHAR CHAVE NOVA PRÓXIMO AO PG: Q124271  E ENERGIZAR OBRA.</t>
  </si>
  <si>
    <t>REVISADO APÓS ANÁLISE</t>
  </si>
  <si>
    <t>EM EXECUÇÃO</t>
  </si>
  <si>
    <t>PLANO 7</t>
  </si>
  <si>
    <t>INTERCALAR POSTE MT 11/600 ENTRE OS POSTES E765100 E O E765101</t>
  </si>
  <si>
    <t>2025-140109</t>
  </si>
  <si>
    <t>2025-140116</t>
  </si>
  <si>
    <t>1040699</t>
  </si>
  <si>
    <t>E894579 AO E894595
E810360 AO E810365</t>
  </si>
  <si>
    <t>E765100</t>
  </si>
  <si>
    <t>-11,431598</t>
  </si>
  <si>
    <t>-41,602491</t>
  </si>
  <si>
    <t>R$ 128.341,79</t>
  </si>
  <si>
    <t>R$ 35.047,02</t>
  </si>
  <si>
    <t>E23134</t>
  </si>
  <si>
    <t>MONTAR BANCADA COM N3 NO PG: E765100, FECHAR CHAVE NOVA PRÓXIMO AO PG: E765100 E ENERGIZAR OBRA.</t>
  </si>
  <si>
    <t>9102333973</t>
  </si>
  <si>
    <t>EDILSON DE SOUZA SANTOS - NTS284548</t>
  </si>
  <si>
    <t xml:space="preserve">EXECUTAR ADF CONFORME PROJETO. </t>
  </si>
  <si>
    <t>27/10/25</t>
  </si>
  <si>
    <t>2025-132559
OU  C/ DP</t>
  </si>
  <si>
    <t>2025-132536</t>
  </si>
  <si>
    <t>2025-136851</t>
  </si>
  <si>
    <t>APROVADA</t>
  </si>
  <si>
    <t>1040717</t>
  </si>
  <si>
    <t>E894850 AO E894857</t>
  </si>
  <si>
    <t>0%</t>
  </si>
  <si>
    <t>E414734</t>
  </si>
  <si>
    <t>-11,324178</t>
  </si>
  <si>
    <t>-41,463986</t>
  </si>
  <si>
    <t>R$ 78.162,04</t>
  </si>
  <si>
    <t>R$ 25.934,34</t>
  </si>
  <si>
    <t>2295</t>
  </si>
  <si>
    <t>0,37</t>
  </si>
  <si>
    <t>ADD-01W2</t>
  </si>
  <si>
    <t>V30589</t>
  </si>
  <si>
    <t>E414733</t>
  </si>
  <si>
    <t>ABRIR CHAVE V30589 PARA DICIONAR FASE DO PG: E414729 AO E414734 E ENERGIZAR OBRA.</t>
  </si>
  <si>
    <t>9102343091</t>
  </si>
  <si>
    <t>B-1228400</t>
  </si>
  <si>
    <t>ER-CIND-POV-LEOPOLDINA 5555-RR-LEOPOLDIN</t>
  </si>
  <si>
    <t>RETIRADA DA CARTEIRA</t>
  </si>
  <si>
    <t>RETIRADA DA CARTEIRA DIA 13/10 PELA COELBA</t>
  </si>
  <si>
    <t>#N/A</t>
  </si>
  <si>
    <t>ALINE LIMA SILVA - U468383</t>
  </si>
  <si>
    <t>08/10/25</t>
  </si>
  <si>
    <t xml:space="preserve">OBRA APITA PARA CONSTRUÇÃO.CONFOME PROJETO </t>
  </si>
  <si>
    <t>SOLICITAR</t>
  </si>
  <si>
    <t>1040710</t>
  </si>
  <si>
    <t>E894740 AO E894764</t>
  </si>
  <si>
    <t>25</t>
  </si>
  <si>
    <t>B725191</t>
  </si>
  <si>
    <t>-11,779250</t>
  </si>
  <si>
    <t>-41,980767</t>
  </si>
  <si>
    <t>R$ 227.948,85</t>
  </si>
  <si>
    <t>R$ 68.547,12</t>
  </si>
  <si>
    <t>0,12</t>
  </si>
  <si>
    <t>0,70</t>
  </si>
  <si>
    <t>IBB-01Y7</t>
  </si>
  <si>
    <t>N52592</t>
  </si>
  <si>
    <t>MONTAR BANCADA NO PG: B725191 E ENERGIZAR OBRA.</t>
  </si>
  <si>
    <t>.</t>
  </si>
  <si>
    <t>9102101112</t>
  </si>
  <si>
    <t>AC - CIND POV  ACHADO - RURAL</t>
  </si>
  <si>
    <t>NO SISTEMA JÁ CONSTA TRIFÁSICO, VERIFICAR EM CAMPO</t>
  </si>
  <si>
    <t>IRISMAR MARQUES SILVA - NTS493543</t>
  </si>
  <si>
    <t>HIAGO DE CIRQUEIRA PEREIRA - NTS449580</t>
  </si>
  <si>
    <t xml:space="preserve">OBRA APITA PARA CONSTRUÇÃO </t>
  </si>
  <si>
    <t>14/10/25</t>
  </si>
  <si>
    <t>2025-137943</t>
  </si>
  <si>
    <t>2025-132849</t>
  </si>
  <si>
    <t>1040688</t>
  </si>
  <si>
    <t>E894463 AO E894470</t>
  </si>
  <si>
    <t>E733687</t>
  </si>
  <si>
    <t>-11,808347</t>
  </si>
  <si>
    <t>-41,852638</t>
  </si>
  <si>
    <t>R$ 216.353,90</t>
  </si>
  <si>
    <t>R$ 108.618,40</t>
  </si>
  <si>
    <t>2290</t>
  </si>
  <si>
    <t>IBB-01Y8</t>
  </si>
  <si>
    <t>E25060</t>
  </si>
  <si>
    <t>Q128081</t>
  </si>
  <si>
    <t xml:space="preserve">SUBSTITUIR POSTES AT  POR POSTES DE MAIOR ESFORÇO NOS PG:  Q128081,  Q128093, Q128094, Q132959, Q132962, Q133002. </t>
  </si>
  <si>
    <t>9102283005</t>
  </si>
  <si>
    <t>JAILSON SANTOS SILVA - NTS296579</t>
  </si>
  <si>
    <t xml:space="preserve">OBRA APITA OARA CONSTRUÇÃO CONFORME PROJETO </t>
  </si>
  <si>
    <t>2025-132662</t>
  </si>
  <si>
    <t>2025-140779</t>
  </si>
  <si>
    <t>2025-132669</t>
  </si>
  <si>
    <t>2025-132825</t>
  </si>
  <si>
    <t>1040696</t>
  </si>
  <si>
    <t>E894547 AO E894555</t>
  </si>
  <si>
    <t>Q200018</t>
  </si>
  <si>
    <t>-11,874596</t>
  </si>
  <si>
    <t>-41,850519</t>
  </si>
  <si>
    <t>R$ 90.697,73</t>
  </si>
  <si>
    <t>R$ 23.951,95</t>
  </si>
  <si>
    <t>2291</t>
  </si>
  <si>
    <t>J15127</t>
  </si>
  <si>
    <t>Q200001</t>
  </si>
  <si>
    <t>BATER ESTRIBO NO PG: Q200001  E ADICIONAR 01 VÃO DE RD MT DO PG: Q200001 AO Q200002 E ENECABEÇAR RD MT NO MESMO PG E ENERGIZAR OBRA.</t>
  </si>
  <si>
    <t>9102284523</t>
  </si>
  <si>
    <t>DESLIGAMENTO CONTEMPLA ADF DO PROJETO B-1225231</t>
  </si>
  <si>
    <t>OBRAS APITA PARA CONSTRUÇÃO, B-1207659, B-1225231 UMA DEPENDE DA OUTRA NO QUE SE DIZ RESPEITO A ADF. SÃO A MESMA DERIVAÇÃO</t>
  </si>
  <si>
    <t>16/10/25</t>
  </si>
  <si>
    <t>2025-132665</t>
  </si>
  <si>
    <t>2025-132673</t>
  </si>
  <si>
    <t>1040697</t>
  </si>
  <si>
    <t>E894556 AO E894563</t>
  </si>
  <si>
    <t>Q199834</t>
  </si>
  <si>
    <t>-11,870811</t>
  </si>
  <si>
    <t>-41,830110</t>
  </si>
  <si>
    <t>R$ 100.689,96</t>
  </si>
  <si>
    <t>R$ 26.775,80</t>
  </si>
  <si>
    <t>H67221</t>
  </si>
  <si>
    <t xml:space="preserve">ADICIONAR 02 VÃ DE RD MT DO PG: Q199834 AO Q102966 E CONECTAR FASE SENTIDO LADO CARGA </t>
  </si>
  <si>
    <t>9102342152</t>
  </si>
  <si>
    <t>MESMO TRECHO DA ADF DO PROJETO B-1207659</t>
  </si>
  <si>
    <t>2025-137983</t>
  </si>
  <si>
    <t>2025-134467</t>
  </si>
  <si>
    <t>1040706</t>
  </si>
  <si>
    <t>E894670 AO E894684</t>
  </si>
  <si>
    <t>R$ 138.088,94</t>
  </si>
  <si>
    <t>R$ 39.805,11</t>
  </si>
  <si>
    <t>J14775</t>
  </si>
  <si>
    <t>Q199804</t>
  </si>
  <si>
    <t>MONTAR BANCADA COM N3  NO PG: Q199804,   FECHAR CHAVE NOVA PRÓXIMO AO PG: Q199804 E ENERGIZAR OBRA.</t>
  </si>
  <si>
    <t>9101909557</t>
  </si>
  <si>
    <t>B-1107829</t>
  </si>
  <si>
    <t>ME-COEL-RUA-JOSE SOARES FRANCA 26-CENTRO</t>
  </si>
  <si>
    <t>OBRA URBANA DE DIFÍCIL EXECUÇÃO. SÃO NECESSÁRIO EM MÉDIA 3 OU 4 DESLIGAMENTO PARA CONCLUSÃO.</t>
  </si>
  <si>
    <t>MANOEL MESSIAS ALENCAR - U359765</t>
  </si>
  <si>
    <t>PLANO 8</t>
  </si>
  <si>
    <t>AL/MELHORAMENTO</t>
  </si>
  <si>
    <t>15/10/25</t>
  </si>
  <si>
    <t>DA PRA FAZER O RECONDURORAMENTO BT. POREM, SAO MUITAS RECOMPOSIÇÃO DE PASSEIOS, MUITOS RAMAIS PRA REALOCAR E TROCAR</t>
  </si>
  <si>
    <t>1040694</t>
  </si>
  <si>
    <t>E894523 AO E894540</t>
  </si>
  <si>
    <t>Q124841</t>
  </si>
  <si>
    <t>-11,696341</t>
  </si>
  <si>
    <t>-41,468445</t>
  </si>
  <si>
    <t>R$ 122.842,89</t>
  </si>
  <si>
    <t>R$ 46.442,91</t>
  </si>
  <si>
    <t>AMD-01N1</t>
  </si>
  <si>
    <t>J52511</t>
  </si>
  <si>
    <t>Q124844</t>
  </si>
  <si>
    <t xml:space="preserve">INTERCALAR POSTE C/ B3 E BANCADA PARA TRAFO ENTRE OS PG: Q124844 - Q124840, SUBSTITUIR POSTE Q124840 </t>
  </si>
  <si>
    <t>9102299101</t>
  </si>
  <si>
    <t>CRIAR</t>
  </si>
  <si>
    <t>PLANO 7 ALTERAR P/ 14</t>
  </si>
  <si>
    <t xml:space="preserve">A OBRA DERIVA DA ULTIMA N3-3 DA ADF DE PIMENTA B-1156677, ENCABEÇAR REDE MT CONFORME PROJETO.  N3-3 PARA N4-3  </t>
  </si>
  <si>
    <t>2025-134377</t>
  </si>
  <si>
    <t>2025-134474</t>
  </si>
  <si>
    <t>1040698</t>
  </si>
  <si>
    <t>E894564 AO E894578</t>
  </si>
  <si>
    <t>B738593</t>
  </si>
  <si>
    <t>-11,854066</t>
  </si>
  <si>
    <t>-41,613738</t>
  </si>
  <si>
    <t>R$ 115.603,18</t>
  </si>
  <si>
    <t>R$ 32.591,60</t>
  </si>
  <si>
    <t>0,18</t>
  </si>
  <si>
    <t>MGM-09Z5</t>
  </si>
  <si>
    <t>G59311</t>
  </si>
  <si>
    <t>ALTERAR ESTRUTURA DE N3-3 P/ N4-3 NO PG: B738593, FECHAR CHAVE NOVA PRÓXIMO AO PG: B738593 E ENERGIZAR OBRA.</t>
  </si>
  <si>
    <t>9102316525</t>
  </si>
  <si>
    <t>JARBAS SOUZA AMORIM - NTS987502</t>
  </si>
  <si>
    <t>ADICIONAR FASE CONFORME PROJETO.</t>
  </si>
  <si>
    <t>2025-133600</t>
  </si>
  <si>
    <t>2025-133606</t>
  </si>
  <si>
    <t>2025-134638</t>
  </si>
  <si>
    <t>1040703</t>
  </si>
  <si>
    <t>E894617 AO E894631</t>
  </si>
  <si>
    <t>E765262</t>
  </si>
  <si>
    <t>-11,907336</t>
  </si>
  <si>
    <t>-41,702260</t>
  </si>
  <si>
    <t>R$ 151.435,44</t>
  </si>
  <si>
    <t>R$ 39.925,41</t>
  </si>
  <si>
    <t>2292</t>
  </si>
  <si>
    <t>0,19</t>
  </si>
  <si>
    <t>MGM-09Z3</t>
  </si>
  <si>
    <t>E27407</t>
  </si>
  <si>
    <t>ADICIONAR 01 VÃO DE RD MT DO PG: E765262 AO E765249, INTERLIGAR FASE SENTIDO LADO CARGA E ENERGIZAR OBRA.</t>
  </si>
  <si>
    <t>9102341180</t>
  </si>
  <si>
    <t>DIVERGENCIA DE LOCAL DO CLIENTE EM CAMPO, EMAIL ENVIADO PARA A COELBA  07/10</t>
  </si>
  <si>
    <t>07/10/25</t>
  </si>
  <si>
    <t xml:space="preserve">NTERCALAR POSTE 11/600 COM TRANSFORMADOR ENTRE OS POSTES </t>
  </si>
  <si>
    <t>29/10/25</t>
  </si>
  <si>
    <t>2025-138009</t>
  </si>
  <si>
    <t>2025-134451</t>
  </si>
  <si>
    <t>03/11/25</t>
  </si>
  <si>
    <t>2025-11-5981</t>
  </si>
  <si>
    <t>D091560</t>
  </si>
  <si>
    <t>-11,788833</t>
  </si>
  <si>
    <t>-41,768644</t>
  </si>
  <si>
    <t>R$ 26.796,97</t>
  </si>
  <si>
    <t>R$ 2.916,49</t>
  </si>
  <si>
    <t>J57309</t>
  </si>
  <si>
    <t xml:space="preserve">D091560 </t>
  </si>
  <si>
    <t>INTERCALAR POSTE AT COM N1 E TRAFO ENTRE OS PG: D091558 - D705712,  FECHAR CHAVE NOVA PRÓXIMO AO PG: D091558  E ENERGIZAR OBRA.</t>
  </si>
  <si>
    <t>9102349557</t>
  </si>
  <si>
    <t>REDE ANTIGA NÃO CADASTRADA.
NECESSÁRIO CORREÇÃO CADASTRAL.</t>
  </si>
  <si>
    <t>ALTERAR ESTRUTURA MT DE M3 PRA M4 NO PG DO TRAFO H35248.</t>
  </si>
  <si>
    <t>28/10/25</t>
  </si>
  <si>
    <t>2025-138056</t>
  </si>
  <si>
    <t>2025-138059
2025-138061
2025-138062</t>
  </si>
  <si>
    <t>2025-138078</t>
  </si>
  <si>
    <t>1040719</t>
  </si>
  <si>
    <t>E894858 AO E894862</t>
  </si>
  <si>
    <t>E600590</t>
  </si>
  <si>
    <t>-11,908580</t>
  </si>
  <si>
    <t>-41,675359</t>
  </si>
  <si>
    <t>R$ 28.178,89</t>
  </si>
  <si>
    <t>R$ 10.222,53</t>
  </si>
  <si>
    <t>H35244</t>
  </si>
  <si>
    <t>ALTERAR ESTRUTURA DE M3 P/ M4 NO PG: E904913 E ENERGIZAR OBRA.</t>
  </si>
  <si>
    <t>9102347598</t>
  </si>
  <si>
    <t>ENCABEÇAR REDE CONFORME PROJETO</t>
  </si>
  <si>
    <t>17/10/25</t>
  </si>
  <si>
    <t>2025-134426</t>
  </si>
  <si>
    <t>E877448 AO E877450</t>
  </si>
  <si>
    <t>04/11/25</t>
  </si>
  <si>
    <t>2025-11-8382</t>
  </si>
  <si>
    <t>E617528</t>
  </si>
  <si>
    <t>-11.831079</t>
  </si>
  <si>
    <t>-41.74908</t>
  </si>
  <si>
    <t>R$ 15.514,70</t>
  </si>
  <si>
    <t>R$ 6.291,82</t>
  </si>
  <si>
    <t>D06340</t>
  </si>
  <si>
    <t xml:space="preserve">E617528 </t>
  </si>
  <si>
    <t>ENCABEÇAR RD BT NO PG: E617528 E ENERGIZAR OBRA.</t>
  </si>
  <si>
    <t>9102342630</t>
  </si>
  <si>
    <t>FELIPE PEREIRA ALVES - NTS633505</t>
  </si>
  <si>
    <t>RENATO ALVES DE OLIVEIRA GONCALVES - NTS467500</t>
  </si>
  <si>
    <t>JARBAS LIMA VIEIRA - U348612</t>
  </si>
  <si>
    <t>OBRA APITA PARA CONSTRUÇÃO CONFORME PROJETO</t>
  </si>
  <si>
    <t>2025-133381</t>
  </si>
  <si>
    <t>E786703  AO E786706</t>
  </si>
  <si>
    <t>2025-11-5570</t>
  </si>
  <si>
    <t>B899194</t>
  </si>
  <si>
    <t>-11,057811</t>
  </si>
  <si>
    <t>-42,155731</t>
  </si>
  <si>
    <t>R$ 21.721,68</t>
  </si>
  <si>
    <t>R$ 9.407,39</t>
  </si>
  <si>
    <t>2289</t>
  </si>
  <si>
    <t>0,22</t>
  </si>
  <si>
    <t>IRC-01L8</t>
  </si>
  <si>
    <t>V01170</t>
  </si>
  <si>
    <t>ENCABEÇAR RD BT NO PG: B899194 E ENERGIZAR OBRA.</t>
  </si>
  <si>
    <t>9102339703</t>
  </si>
  <si>
    <t xml:space="preserve">OBRA APITA PARA CONSTRUÇÃO CONFORME PROJETO </t>
  </si>
  <si>
    <t>2025-133382</t>
  </si>
  <si>
    <t>1040721</t>
  </si>
  <si>
    <t>E894882 AO E894887</t>
  </si>
  <si>
    <t>2025-11-11314</t>
  </si>
  <si>
    <t>E645207</t>
  </si>
  <si>
    <t>-11.139252</t>
  </si>
  <si>
    <t>-42.05577</t>
  </si>
  <si>
    <t>R$ 32.899,21</t>
  </si>
  <si>
    <t>R$ 14.591,43</t>
  </si>
  <si>
    <t>D04313</t>
  </si>
  <si>
    <t>E645208</t>
  </si>
  <si>
    <t>ENCABEÇAR RD BT NO PG: E645208 E ENERGIZAR OBRA.</t>
  </si>
  <si>
    <t>9102352010</t>
  </si>
  <si>
    <t>2025-133344</t>
  </si>
  <si>
    <t>2025-133363</t>
  </si>
  <si>
    <t>1040722</t>
  </si>
  <si>
    <t>E894888 AO E894905</t>
  </si>
  <si>
    <t>E513777</t>
  </si>
  <si>
    <t>-11.079716</t>
  </si>
  <si>
    <t>-42.072856</t>
  </si>
  <si>
    <t>R$ 150.483,38</t>
  </si>
  <si>
    <t>R$ 49.823,98</t>
  </si>
  <si>
    <t>V47773</t>
  </si>
  <si>
    <t>ALTERAR ESTRUTURA DE N3 P/ N4 E INSTALAR CHAVE FUSÍVEL NO PG: E513777, FECHAR CHAVE NOVA PRÓXIMO AO PG: E513777 E ENERGIZAR OBRA.</t>
  </si>
  <si>
    <t>9102095590</t>
  </si>
  <si>
    <t>B-1156352</t>
  </si>
  <si>
    <t>MARCOS PAULO CARDOSO - NTS647589</t>
  </si>
  <si>
    <t>PLANO 14</t>
  </si>
  <si>
    <t>20/10/25</t>
  </si>
  <si>
    <t>OBRA APITAR PARA CONSTRUÇÃO CONFORME PROJETO.</t>
  </si>
  <si>
    <t>21/10/25</t>
  </si>
  <si>
    <t>2025-133008</t>
  </si>
  <si>
    <t>2025-133097</t>
  </si>
  <si>
    <t>2025-133206</t>
  </si>
  <si>
    <t>1040681</t>
  </si>
  <si>
    <t>E894442 AO E894456</t>
  </si>
  <si>
    <t>L359620</t>
  </si>
  <si>
    <t>-11,630717</t>
  </si>
  <si>
    <t>-42,612684</t>
  </si>
  <si>
    <t>R$ 113.856,05</t>
  </si>
  <si>
    <t>R$ 35.032,53</t>
  </si>
  <si>
    <t>2336</t>
  </si>
  <si>
    <t>XIQ-09V2</t>
  </si>
  <si>
    <t>T15808</t>
  </si>
  <si>
    <t>ALTERAR ESTRUTURA DE N3-3 P/ N4-3 NO PG: L359620, FECHAR CHAVE NOVA PRÓXIMO AO PG: L359622 E ENERGIZAR OBRA.</t>
  </si>
  <si>
    <t>9102349571</t>
  </si>
  <si>
    <t>23/10/25</t>
  </si>
  <si>
    <t>24/10/25</t>
  </si>
  <si>
    <t>2025-133220</t>
  </si>
  <si>
    <t>E738697</t>
  </si>
  <si>
    <t>-11.449132</t>
  </si>
  <si>
    <t>-42.262552</t>
  </si>
  <si>
    <t>R$ 32.909,62</t>
  </si>
  <si>
    <t>R$ 6.229,02</t>
  </si>
  <si>
    <t>MRR-01X3</t>
  </si>
  <si>
    <t>N86510</t>
  </si>
  <si>
    <t>ABRIR CHAVE N86510 PARA SUBSTITUIR TRAFO E22164 POR TRAFO DE 30KVA, RECONDUTORAMENTO BT DO PG: E738697 AO E738702 E ENERGIZAR OBRA.</t>
  </si>
  <si>
    <t>9102345601</t>
  </si>
  <si>
    <t>EDMILSON RIBEIRO DO NASCIMENTO - NTS354575</t>
  </si>
  <si>
    <t>OBRA APITA PARA CONSTRUÇÃO.CONFOME PROJETO _x000D_
ENCABEÇAR DE REDE  BT_x000D_</t>
  </si>
  <si>
    <t>E877440 AO E877443</t>
  </si>
  <si>
    <t>2025-11-6115</t>
  </si>
  <si>
    <t>E312114</t>
  </si>
  <si>
    <t>-11,595705</t>
  </si>
  <si>
    <t>-41,855320</t>
  </si>
  <si>
    <t>R$ 20.710,78</t>
  </si>
  <si>
    <t>R$ 8.487,70</t>
  </si>
  <si>
    <t>2298</t>
  </si>
  <si>
    <t>IBB-01Y4</t>
  </si>
  <si>
    <t>V22204</t>
  </si>
  <si>
    <t>ENCABEÇAR RD BT NO PG: E312114 E ENERGIZAR OBRA.</t>
  </si>
  <si>
    <t>9102347075</t>
  </si>
  <si>
    <t>CADASTRAR CHAVE NO GSE PARA PROGRAMAR DESLIGAMENTO.</t>
  </si>
  <si>
    <t>OBRA APITAR PARA CONSTRUÇÃO CONFORME PROJETO.
8VÃO DE ADF, DE N3 PARA N4. INSTALA UM GLV,</t>
  </si>
  <si>
    <t>2025-134796</t>
  </si>
  <si>
    <t>2025-134452</t>
  </si>
  <si>
    <t>2025-134658</t>
  </si>
  <si>
    <t>1040720</t>
  </si>
  <si>
    <t>E894863 AO E894871</t>
  </si>
  <si>
    <t>Q132243</t>
  </si>
  <si>
    <t>-11,602628</t>
  </si>
  <si>
    <t>-41,809423</t>
  </si>
  <si>
    <t>R$ 149.378,63</t>
  </si>
  <si>
    <t>R$ 44.660,52</t>
  </si>
  <si>
    <t>IBB-01Y6</t>
  </si>
  <si>
    <t>J18409</t>
  </si>
  <si>
    <t>9102299522</t>
  </si>
  <si>
    <t>C/ DP</t>
  </si>
  <si>
    <t>2025-133114</t>
  </si>
  <si>
    <t>2025-133221</t>
  </si>
  <si>
    <t>1040726</t>
  </si>
  <si>
    <t>E894929 AO E894969</t>
  </si>
  <si>
    <t>22</t>
  </si>
  <si>
    <t>E811322</t>
  </si>
  <si>
    <t>-11.542334</t>
  </si>
  <si>
    <t>-41.883423</t>
  </si>
  <si>
    <t>R$ 85.684,83</t>
  </si>
  <si>
    <t>E24944</t>
  </si>
  <si>
    <t>E811323</t>
  </si>
  <si>
    <t>ABRIR CHAVE: E24944 PARA ROTACIONAR POSTE E811323, ALTERAR ESTRUTURA DE N3 P/ N4 E ENERGIZAR OBRA.</t>
  </si>
  <si>
    <t>9101280145</t>
  </si>
  <si>
    <t>B-0912481</t>
  </si>
  <si>
    <t>ME-INTERLIG-IAS-01M3-IRC-01L3</t>
  </si>
  <si>
    <t>IRECÊ</t>
  </si>
  <si>
    <t>CANCELADA</t>
  </si>
  <si>
    <t>OBRA JA CONSTRUIDA POR OUTRA EPS</t>
  </si>
  <si>
    <t>56</t>
  </si>
  <si>
    <t>Q113834</t>
  </si>
  <si>
    <t>-11,301559</t>
  </si>
  <si>
    <t>-41,872211</t>
  </si>
  <si>
    <t>R$ 546.724,15</t>
  </si>
  <si>
    <t>R$ 198.189,44</t>
  </si>
  <si>
    <t>9101954542</t>
  </si>
  <si>
    <t>B-1100725</t>
  </si>
  <si>
    <t>IS-COEL-RUA-SANTAREM-BAIXAO DE SINESIA</t>
  </si>
  <si>
    <t>RETIRADA DA CARTEIRA EM REUNIÃO PRESENCIAL COM BRUNA
NECESSARIO INSTALAR CHAVE PROVISÓRIA PARA MANOBRA DEVIDO CHI ELEVADO.
REALIZAR MANOBRA POIS SE TRATA DO INICIO DE  UM ALIMENTADOR.</t>
  </si>
  <si>
    <t xml:space="preserve">REALIZAR SUBSTITUIÇÃO DO POSTE Q181861. NO POSTE EXISTENTENTE UMA CHAVE E 06 GLV. VERIFICAR MELHOR FORMA DE FAZER O DESLIGAMENTO. </t>
  </si>
  <si>
    <t>47</t>
  </si>
  <si>
    <t>Q181861</t>
  </si>
  <si>
    <t>-11,309433</t>
  </si>
  <si>
    <t>-41,828778</t>
  </si>
  <si>
    <t>IRC-01L9</t>
  </si>
  <si>
    <t>J12831</t>
  </si>
  <si>
    <t>9102164858</t>
  </si>
  <si>
    <t>B-1185230</t>
  </si>
  <si>
    <t>AC CIND REG. FV POV-PLACAS DE S DOMINGOS</t>
  </si>
  <si>
    <t>AGUARDANDO DEFINIÇÃO DA COELBA SE IREMOS CONTRUIR TRECHO DA DERIVAÇÃO</t>
  </si>
  <si>
    <t>ESMERALDO DOS SANTOS OLIVEIRA - NTS551535</t>
  </si>
  <si>
    <t xml:space="preserve">A OBRA PELA QUAL DEPENDIAMOS PARA EXECUTAR A MESMA AINDA NAO FOI EXECUTADA. </t>
  </si>
  <si>
    <t>1040684</t>
  </si>
  <si>
    <t>E894457 AO E894462</t>
  </si>
  <si>
    <t>0,00%</t>
  </si>
  <si>
    <t>E002097</t>
  </si>
  <si>
    <t>-10,837245</t>
  </si>
  <si>
    <t>-42,384947</t>
  </si>
  <si>
    <t>R$ 36.798,37</t>
  </si>
  <si>
    <t>R$ 16.182,69</t>
  </si>
  <si>
    <t>2287</t>
  </si>
  <si>
    <t>RVD-01N1</t>
  </si>
  <si>
    <t>V25512</t>
  </si>
  <si>
    <t>ALTERAR ESTRUTURA DE N3 P/ N4 NO PG: E002097</t>
  </si>
  <si>
    <t>9102310924</t>
  </si>
  <si>
    <t>B-1217092</t>
  </si>
  <si>
    <t>ER-CIND-POV-RIO VERDE III-RURAL</t>
  </si>
  <si>
    <t>1040704</t>
  </si>
  <si>
    <t>E894632 AO E894650</t>
  </si>
  <si>
    <t>B892575</t>
  </si>
  <si>
    <t>-11,009208</t>
  </si>
  <si>
    <t>-42,330768</t>
  </si>
  <si>
    <t>R$ 132.100,53</t>
  </si>
  <si>
    <t>R$ 47.618,24</t>
  </si>
  <si>
    <t>J58433</t>
  </si>
  <si>
    <t>ALTERAR ESTRUTURA DE N3 P/ N4 NO PG: B892575, FECHAR CHAVE NOVA PRÓXIMO AO PG: B892575 E ENERGIZAR OBRA.</t>
  </si>
  <si>
    <t>9102345156</t>
  </si>
  <si>
    <t>B-1228995</t>
  </si>
  <si>
    <t>ER-CIND-POV-LAGES-RURAL</t>
  </si>
  <si>
    <t>1040728</t>
  </si>
  <si>
    <t>E894970 AO E895082</t>
  </si>
  <si>
    <t>113</t>
  </si>
  <si>
    <t>B798632</t>
  </si>
  <si>
    <t>-10.838029</t>
  </si>
  <si>
    <t>-42.461932</t>
  </si>
  <si>
    <t>V05997</t>
  </si>
  <si>
    <t>INTERCALAR POSTE AT COM N1-3 ENTRE OS PG: B798632 - B798633, FECHAR CHAVE NOVA PRÓXIMO AO PG: B798632  E ENERGIZAR OBRA.</t>
  </si>
  <si>
    <t>9102334555</t>
  </si>
  <si>
    <t>VANILSON LUCIO DOS SANTOS SILVA - NTS368534</t>
  </si>
  <si>
    <t>PEDRO ANDERSON NERI DE SOUZA - U465037</t>
  </si>
  <si>
    <t>22/10/25</t>
  </si>
  <si>
    <t xml:space="preserve">OBRA APITAR PARA CONSTRUÇÃO. ADF JÁ  FOI CONATRUIDA. DE N3-3 PARA  N4-3  LV
</t>
  </si>
  <si>
    <t>2025-132592</t>
  </si>
  <si>
    <t>2025-132631</t>
  </si>
  <si>
    <t>1040705</t>
  </si>
  <si>
    <t>E894651 AO E894669</t>
  </si>
  <si>
    <t>B652180</t>
  </si>
  <si>
    <t>-11,243142</t>
  </si>
  <si>
    <t>-41,548018</t>
  </si>
  <si>
    <t>R$ 179.272,42</t>
  </si>
  <si>
    <t>R$ 50.631,07</t>
  </si>
  <si>
    <t>2293</t>
  </si>
  <si>
    <t>G36177</t>
  </si>
  <si>
    <t>B652174</t>
  </si>
  <si>
    <t>ALTERAR ESTRUTURA DE N3 P/ N4 NO PG: B652174 E ENERGIZAR OBRA.</t>
  </si>
  <si>
    <t>9102332453</t>
  </si>
  <si>
    <t>WILIAN DA SILVA SENA - NTS032577</t>
  </si>
  <si>
    <t>INTERCALAR POSTE MT 11/600 NO OUTRO LADO DA CERCA. POIS SE TRANSFORMAR A EXISTENTE EM N4 VAI SAIR MUITO TORTA POR CONTA DO POSTE DT.</t>
  </si>
  <si>
    <t>2025-132600</t>
  </si>
  <si>
    <t>2025-132632</t>
  </si>
  <si>
    <t>1040707</t>
  </si>
  <si>
    <t>E894685 AO E894705</t>
  </si>
  <si>
    <t>10%</t>
  </si>
  <si>
    <t>E309658</t>
  </si>
  <si>
    <t>-11,182657</t>
  </si>
  <si>
    <t>-41,397356</t>
  </si>
  <si>
    <t>R$ 191.826,90</t>
  </si>
  <si>
    <t>R$ 51.412,43</t>
  </si>
  <si>
    <t>2294</t>
  </si>
  <si>
    <t>IRC-01L4</t>
  </si>
  <si>
    <t>N31196</t>
  </si>
  <si>
    <t>ALTERAR ESTRUTURA DE N3 P/ N4 NO PG: E309658, FECHAR CHAVE NOVA PRÓXIMO AO PG: E309658 E ENERGIZAR OBRA.</t>
  </si>
  <si>
    <t>9102343093</t>
  </si>
  <si>
    <t xml:space="preserve">JA EXISTE UMA OBRA SAINDO DA DERIVAÇÃO EM QUESTAO QUE AINDA ESTA EM EXECUÇÃO, POREM, NA PRIMEIRA N3-3 AO INVES DE IR PRA ESQUERDA VAI PRA DIREITA. </t>
  </si>
  <si>
    <t>2025-132601</t>
  </si>
  <si>
    <t>2025-132634</t>
  </si>
  <si>
    <t>1040708</t>
  </si>
  <si>
    <t>E894706 AO E894734</t>
  </si>
  <si>
    <t>26</t>
  </si>
  <si>
    <t>D027549</t>
  </si>
  <si>
    <t>-11,156158</t>
  </si>
  <si>
    <t>-41,404053</t>
  </si>
  <si>
    <t>R$ 237.459,61</t>
  </si>
  <si>
    <t>R$ 69.838,53</t>
  </si>
  <si>
    <t>J13493</t>
  </si>
  <si>
    <t>ALTERAR ESTRUTURA DE N3 P/ N4 NO PG: D027549, FECHAR CHAVE NOVA PRÓXIMO AO PG: D027549 E ENERGIZAR OBRA.</t>
  </si>
  <si>
    <t>9102330996</t>
  </si>
  <si>
    <t>NTERCALAR POSTE MT 11/600 NO PONTO 01 CONFORME PROJETO.</t>
  </si>
  <si>
    <t>2025-132605</t>
  </si>
  <si>
    <t>2025-132640</t>
  </si>
  <si>
    <t>1040713</t>
  </si>
  <si>
    <t>E894765 AO E894778</t>
  </si>
  <si>
    <t>Q112477</t>
  </si>
  <si>
    <t>-11,158357</t>
  </si>
  <si>
    <t>-41,453961</t>
  </si>
  <si>
    <t>R$ 119.807,68</t>
  </si>
  <si>
    <t>R$ 33.737,14</t>
  </si>
  <si>
    <t>0,10</t>
  </si>
  <si>
    <t>V47867</t>
  </si>
  <si>
    <t>INTERCALAR POSTE AT COM N1-3 ENTRE OS PG: Q112477 - Q112478, FECHAR CHAVE NOVA PRÓXIMO AO PG: Q112477 E ENERGIZAR OBRA.</t>
  </si>
  <si>
    <t>9101152685</t>
  </si>
  <si>
    <t>B-0850222</t>
  </si>
  <si>
    <t>ME-JUDI-POV ANGICO-RURAL</t>
  </si>
  <si>
    <t>ADF JÁ EXECUTADA, TRAFO BIFÁSICO JÁ INSTALDAO E-MAIL ENVIADO 27/10</t>
  </si>
  <si>
    <t>FLAVIO ALMEIDA DOS ANJOS - U468839</t>
  </si>
  <si>
    <t>OBRA JÁ CONSTRUIDA POR OUTRA EPS.</t>
  </si>
  <si>
    <t>27</t>
  </si>
  <si>
    <t>D146877</t>
  </si>
  <si>
    <t>-10.787621</t>
  </si>
  <si>
    <t>-41.97599</t>
  </si>
  <si>
    <t>R$ 380.725,07</t>
  </si>
  <si>
    <t>R$ 224.947,86</t>
  </si>
  <si>
    <t>9100478456</t>
  </si>
  <si>
    <t>B-0606983</t>
  </si>
  <si>
    <t>ME-ADF.ASSENT.JUAZEIRO/N.HORIZO-RURAL</t>
  </si>
  <si>
    <t>ADF JÁ EXECUTADA, TRAFO BIFÁSICO JÁ INSTALDAO, E-MAIL ENVIADO 27/10</t>
  </si>
  <si>
    <t>D272308</t>
  </si>
  <si>
    <t>-10.925261</t>
  </si>
  <si>
    <t>-41.923102</t>
  </si>
  <si>
    <t>R$ 26.751,73</t>
  </si>
  <si>
    <t>R$ 12.838,19</t>
  </si>
  <si>
    <t>9101724961</t>
  </si>
  <si>
    <t>B-1013694</t>
  </si>
  <si>
    <t>IS-DIST-AVN JASON OLIVEIRA 1-CENTRO</t>
  </si>
  <si>
    <t xml:space="preserve">OBRA URBANA DE DIFÍCIL EXECUÇÃO. </t>
  </si>
  <si>
    <t xml:space="preserve">JHONATAN MARANHAO - U617542 </t>
  </si>
  <si>
    <t>1040692</t>
  </si>
  <si>
    <t>E894488 AO E894509</t>
  </si>
  <si>
    <t>Q192203</t>
  </si>
  <si>
    <t>-11,381755</t>
  </si>
  <si>
    <t>-41,833177</t>
  </si>
  <si>
    <t>R$ 126.301,65</t>
  </si>
  <si>
    <t>R$ 48.903,02</t>
  </si>
  <si>
    <t>IAS-01M1</t>
  </si>
  <si>
    <t>J15320</t>
  </si>
  <si>
    <t>9102352016</t>
  </si>
  <si>
    <t>VERIFICAR: PROJETO DIVERGE DE CAMPO</t>
  </si>
  <si>
    <t>30/10/25</t>
  </si>
  <si>
    <t>2025-134612</t>
  </si>
  <si>
    <t>Q108655</t>
  </si>
  <si>
    <t>-11,476205</t>
  </si>
  <si>
    <t>-41,770260</t>
  </si>
  <si>
    <t>R$ 3.921,13</t>
  </si>
  <si>
    <t>R$ 1.250,46</t>
  </si>
  <si>
    <t>J16156</t>
  </si>
  <si>
    <t>DÁ TOMBO NO  TRAFO: J16156 E ABRIR PASSAGEM NO PG: Q108655 PARA RECONDUTORAMENTO BT DO PG: Q108655 AO Q108658 E ENERGIZAR OBRA.</t>
  </si>
  <si>
    <t>9102248509</t>
  </si>
  <si>
    <t>CHAVE NÃO CADASTRADA NO GSE</t>
  </si>
  <si>
    <t>BITOLA DO CABO NA DERIVAÇÃO É MAIOR. E NAO POSSUI CONEC. ESTRIBO.</t>
  </si>
  <si>
    <t>2025-133349
2025-137913</t>
  </si>
  <si>
    <t>2025-133387</t>
  </si>
  <si>
    <t>2025-134340</t>
  </si>
  <si>
    <t>1040691</t>
  </si>
  <si>
    <t>E894476 AO E894487</t>
  </si>
  <si>
    <t>B778401</t>
  </si>
  <si>
    <t>-11,633036</t>
  </si>
  <si>
    <t>-41,149286</t>
  </si>
  <si>
    <t>R$ 145.719,23</t>
  </si>
  <si>
    <t>R$ 38.623,02</t>
  </si>
  <si>
    <t>MCH-01C1</t>
  </si>
  <si>
    <t>G08375</t>
  </si>
  <si>
    <t>LANÇAR 02 VÃO DE RD MT DO PG: B778405 AO B778420 E ENERGIZAR OBRA.  MONTAR BANCADA COM N3 NO PG: B778426 E ENERGIZAR OBRA.</t>
  </si>
  <si>
    <t>9102036188</t>
  </si>
  <si>
    <t>B-1132224</t>
  </si>
  <si>
    <t>RU-SEIN-RUA-ANTONIO P NETO 1800-CENTRO</t>
  </si>
  <si>
    <t>SOLICITADA RETIRADA DA CARTEIRA POR BRUNA VIA WHATSAPP DIA 21/10</t>
  </si>
  <si>
    <t>OBRA APITAR PARA CONSTRUÇÃO
CLIENTES AUSENTE NA VISITA.</t>
  </si>
  <si>
    <t>1040715</t>
  </si>
  <si>
    <t>E894784 AO E894849</t>
  </si>
  <si>
    <t>66</t>
  </si>
  <si>
    <t>D052702</t>
  </si>
  <si>
    <t>-11,288730</t>
  </si>
  <si>
    <t>-41,990090</t>
  </si>
  <si>
    <t>R$ 530.468,62</t>
  </si>
  <si>
    <t>R$ 172.710,37</t>
  </si>
  <si>
    <t>IRC-01L6_x000D_
IRC-01L2</t>
  </si>
  <si>
    <t>V47786
 J13577</t>
  </si>
  <si>
    <t>Q110450
D169300</t>
  </si>
  <si>
    <t xml:space="preserve"> INTERCALAR POSTE AT C/ N4 ENTRE OS PG: Q110450 - D286694,  IRC-01L6
POSTE C/ CE3-N4 ENTRE OS PG: D169300 - D052702 IRC-01L2</t>
  </si>
  <si>
    <t>9102339320</t>
  </si>
  <si>
    <t>GIORLAN EVANGELISTA SOUZA - NTS063576</t>
  </si>
  <si>
    <t>2025-133512</t>
  </si>
  <si>
    <t>1042337</t>
  </si>
  <si>
    <t>E908691 AO E908696</t>
  </si>
  <si>
    <t>E833174</t>
  </si>
  <si>
    <t>-11.306555</t>
  </si>
  <si>
    <t>-42.02167</t>
  </si>
  <si>
    <t>R$ 39.811,02</t>
  </si>
  <si>
    <t>R$ 15.930,92</t>
  </si>
  <si>
    <t>2338</t>
  </si>
  <si>
    <t>0,60</t>
  </si>
  <si>
    <t>IRC-01L6</t>
  </si>
  <si>
    <t>W52721</t>
  </si>
  <si>
    <t xml:space="preserve">E812537 </t>
  </si>
  <si>
    <t>ABRIR CHAVE TRAFO: E24663 PARA RECONDUTORAMENTO BT DO PG: E812537 AO E833174 E ENERGIZAR OBRA.</t>
  </si>
  <si>
    <t>9102315541</t>
  </si>
  <si>
    <t>HAVERÁ REDUÇÃO DE POSTES, SOLICITADO VISITA DO AR PARA INCLUSÃO DOS ADICIONAIS</t>
  </si>
  <si>
    <t>REVERTON BASTOS ROCHA NOVAIS - NTS972592</t>
  </si>
  <si>
    <t xml:space="preserve">ALTERAR DERIVAÇÃO. MONTAR ESTRUTURA N3 NO PG E855712 E MONTAR N4 COM CHAVE NO PONTO  05. </t>
  </si>
  <si>
    <t>2025-138157</t>
  </si>
  <si>
    <t>1040701</t>
  </si>
  <si>
    <t>E894596 AO E894616</t>
  </si>
  <si>
    <t>06/11/25</t>
  </si>
  <si>
    <t>2025-11-14478</t>
  </si>
  <si>
    <t>D399496</t>
  </si>
  <si>
    <t>-11,174356</t>
  </si>
  <si>
    <t>-41,803870</t>
  </si>
  <si>
    <t>R$ 194.370,65</t>
  </si>
  <si>
    <t>R$ 70.155,00</t>
  </si>
  <si>
    <t>2374</t>
  </si>
  <si>
    <t>IRC-01L5</t>
  </si>
  <si>
    <t>J52532</t>
  </si>
  <si>
    <t>ALTERAR ESTRUTURA DE N3 P/ N4 NO PG: D399496, FECHAR CHAVE NOVA PRÓXIMO AO PG: D399496 E ENERGIZAR OBRA.</t>
  </si>
  <si>
    <t>9102346566</t>
  </si>
  <si>
    <t>ACESSAR A OBRA PELO PONTO ENVIADO NA VISITA. É SO IR RETO E DEPOIS ENTRAR A DIREITA NA N1-3. AI É SO SEGUIR A REDE.</t>
  </si>
  <si>
    <t>2025-131459</t>
  </si>
  <si>
    <t>1040709</t>
  </si>
  <si>
    <t>E894735 AO E894739</t>
  </si>
  <si>
    <t>2025-11-5803</t>
  </si>
  <si>
    <t>E836219</t>
  </si>
  <si>
    <t>-11,164902</t>
  </si>
  <si>
    <t>-41,781158</t>
  </si>
  <si>
    <t>R$ 24.722,48</t>
  </si>
  <si>
    <t>R$ 10.200,19</t>
  </si>
  <si>
    <t>E25062</t>
  </si>
  <si>
    <t>ENCABEÇAR RD BT NO PG: E836219 E ENERGIZAR OBRA.</t>
  </si>
  <si>
    <t>9102346633</t>
  </si>
  <si>
    <t>B-1229034</t>
  </si>
  <si>
    <t>ER-CIND-POV-TRAVESSAO-RURAL-SAO GABRIEL</t>
  </si>
  <si>
    <t>RETIRADA DA CARTEIRA POR RESTRIÇÃO AMBIENTAL, E-MAIL 29/10</t>
  </si>
  <si>
    <t xml:space="preserve">MONTAR ESTRUTURA N3 CONFORME PROJETO. </t>
  </si>
  <si>
    <t>1040725</t>
  </si>
  <si>
    <t>E894906 AO E894928</t>
  </si>
  <si>
    <t>B712640</t>
  </si>
  <si>
    <t>-10.971534</t>
  </si>
  <si>
    <t>-41.542373</t>
  </si>
  <si>
    <t>R$ 199.845,89</t>
  </si>
  <si>
    <t>R$ 72.539,80</t>
  </si>
  <si>
    <t>G36251</t>
  </si>
  <si>
    <t>MONTAR BANCADA COM N3 NO PG: B712640, FECHAR CHAVE NOVA PRÓXIMO AO PG: B712640 E ENERGIZAR OBRA.</t>
  </si>
  <si>
    <t>9102346638</t>
  </si>
  <si>
    <t>07/10/2025</t>
  </si>
  <si>
    <t>SUBSTITUIR TRAFO CONFORME PROJETO.
INFORMAÇÕES DAS ESTRUTURAS ESTÃO NOS PONTOS.</t>
  </si>
  <si>
    <t>2025-133519</t>
  </si>
  <si>
    <t>E247084</t>
  </si>
  <si>
    <t>-11,355628</t>
  </si>
  <si>
    <t>-42,108336</t>
  </si>
  <si>
    <t>R$ 25.239,01</t>
  </si>
  <si>
    <t>R$ 2.967,69</t>
  </si>
  <si>
    <t>V18592</t>
  </si>
  <si>
    <t>E247082</t>
  </si>
  <si>
    <t>ABRIR CHAVE: V18592 PARA SUBSTITUIR TRAFO V18593 POR TRAFO DE 30KVA, RECONDUTORAMENTO BT DO PG: E247082 AO E247084 E ENERGIZAR OBRA.</t>
  </si>
  <si>
    <t>9102346624</t>
  </si>
  <si>
    <t xml:space="preserve">ALTERAR DERIVAÇÃO. </t>
  </si>
  <si>
    <t>2025-136935</t>
  </si>
  <si>
    <t>1040714</t>
  </si>
  <si>
    <t>E894779 AO E894783
E811260</t>
  </si>
  <si>
    <t>2025-11-8437</t>
  </si>
  <si>
    <t>Q185412</t>
  </si>
  <si>
    <t>-11,249115</t>
  </si>
  <si>
    <t>-42,164449</t>
  </si>
  <si>
    <t>R$ 26.052,70</t>
  </si>
  <si>
    <t>R$ 10.917,06</t>
  </si>
  <si>
    <t>J12229</t>
  </si>
  <si>
    <t>Q185414</t>
  </si>
  <si>
    <t>ENCABEÇAR RD BT NO PG: Q185414 E ENERGIZAR OBRA.</t>
  </si>
  <si>
    <t>9102142201</t>
  </si>
  <si>
    <t>B-1171167</t>
  </si>
  <si>
    <t>ER-CIND-ET-XIQUE-XIQUE A BARRA-RURAL</t>
  </si>
  <si>
    <t>SUBSTITUIR POSTS BT E RELOCAR TRAFOEXISTENTE PARA PONTO 04, E INTSLAR TRAFO 75 KVA EXCLUSIVO PRA ATENDER USINA</t>
  </si>
  <si>
    <t>QLP
OBRAS SIMPLIFICADAS</t>
  </si>
  <si>
    <t>15/10/2025</t>
  </si>
  <si>
    <t>OBRA APITAR PARA CONSTRUÇÃO.</t>
  </si>
  <si>
    <t>2025-137815</t>
  </si>
  <si>
    <t>2025-137819</t>
  </si>
  <si>
    <t>2025-133364</t>
  </si>
  <si>
    <t>1040689</t>
  </si>
  <si>
    <t>E894471 AO E894475</t>
  </si>
  <si>
    <t>R073268</t>
  </si>
  <si>
    <t>-10,844978</t>
  </si>
  <si>
    <t>-42,736844</t>
  </si>
  <si>
    <t>R$ 62.580,11</t>
  </si>
  <si>
    <t>R$ 12.044,25</t>
  </si>
  <si>
    <t>XIQ-01M3</t>
  </si>
  <si>
    <t>J16428</t>
  </si>
  <si>
    <t>INSTALAR BANCADA C/ N3 NO PG: E298925 E ENERGIZAR OBRA.</t>
  </si>
  <si>
    <t>9102249202</t>
  </si>
  <si>
    <t>B-1203929</t>
  </si>
  <si>
    <t>ER-CIND-ROD- BA 160-XIQUE-XIQUE MOD</t>
  </si>
  <si>
    <t>OBRA APITAR PARA CONSTRUÇÃO.
NA DERIVAÇÃO EXISTE UM DECLINIO DE UMA TRAVECIA DE BA.NO GEOEX NÃO TEM PROJETO DE TRAVESIA.</t>
  </si>
  <si>
    <t>1040695</t>
  </si>
  <si>
    <t>E894541 AO E894546</t>
  </si>
  <si>
    <t>B967463</t>
  </si>
  <si>
    <t>-11,088414</t>
  </si>
  <si>
    <t>-43,106992</t>
  </si>
  <si>
    <t>R$ 129.146,66</t>
  </si>
  <si>
    <t>BRR-01C2</t>
  </si>
  <si>
    <t>V00204</t>
  </si>
  <si>
    <t>INTERCALAR POSTE AT COM CE1-N3 ENTRE OS PG: B967463 - B967462, FECHAR CHAVE NOVA PRÓXIMO AO PG: B967463  E ENERGIZAR OBRA.</t>
  </si>
  <si>
    <t>9102254627</t>
  </si>
  <si>
    <t>B-1199912</t>
  </si>
  <si>
    <t>GD-9102254627-XIQ-09V1</t>
  </si>
  <si>
    <t xml:space="preserve">SEM MAGNÉTICO </t>
  </si>
  <si>
    <t>S/ MAGNÉTICO</t>
  </si>
  <si>
    <t>9102349100</t>
  </si>
  <si>
    <t>B-1228600</t>
  </si>
  <si>
    <t>IS-COEL-AV-ALMERINDO PORTUGAL-CENTRO</t>
  </si>
  <si>
    <t>RETIRADA DA CARTEIRA - EMAIL 16/10</t>
  </si>
  <si>
    <t>A OBRA DIVERGE CAMPO X PROJETO.</t>
  </si>
  <si>
    <t>Q124804</t>
  </si>
  <si>
    <t>-11,703590</t>
  </si>
  <si>
    <t>-41,470328</t>
  </si>
  <si>
    <t>R$ 57.150,07</t>
  </si>
  <si>
    <t>R$ 23.667,99</t>
  </si>
  <si>
    <t>9101929856</t>
  </si>
  <si>
    <t>B-1090711</t>
  </si>
  <si>
    <t>IS-COEL-RUA-JOSE GONCALVES-CENTRO</t>
  </si>
  <si>
    <t xml:space="preserve">SUBSTITUIR POSTES CONFORME PROJETO. INSTALANDO NO POSTE Q122253 B1-B3. PARA LIVRAR A VARANDA. E NO POSTE Q122252 MONTAR B4. </t>
  </si>
  <si>
    <t>Q122252</t>
  </si>
  <si>
    <t>-11,691543</t>
  </si>
  <si>
    <t>-41,468158</t>
  </si>
  <si>
    <t>R$ 16.869,19</t>
  </si>
  <si>
    <t>R$ 8.024,34</t>
  </si>
  <si>
    <t>9101734461</t>
  </si>
  <si>
    <t>SUBSTITUIR POSTES BT</t>
  </si>
  <si>
    <t>MONTAR ESTRUTURA B3 NO PG B696749. EM CAMPO JA É N1, MONTAR ESTRUTURAS BECO. PA REDE VAI PASSAR EM FRENTE A LOTES DE CASAS E MUROS JA PRONTOS</t>
  </si>
  <si>
    <t>2025-134479</t>
  </si>
  <si>
    <t>1041326</t>
  </si>
  <si>
    <t>E898309 AO E898318</t>
  </si>
  <si>
    <t>B696749</t>
  </si>
  <si>
    <t>-11.701598</t>
  </si>
  <si>
    <t>-41.759803</t>
  </si>
  <si>
    <t>R$ 45.896,49</t>
  </si>
  <si>
    <t>R$ 19.527,71</t>
  </si>
  <si>
    <t>J17062</t>
  </si>
  <si>
    <t xml:space="preserve">Q131851 </t>
  </si>
  <si>
    <t>DESATIVAR RD MT DO PG: Q131851 AO Q131854</t>
  </si>
  <si>
    <t>9101889607</t>
  </si>
  <si>
    <t>B-1069170</t>
  </si>
  <si>
    <t>IS-COEL-AV-ANTONIO CARLOS MAGALHA-CENTRO</t>
  </si>
  <si>
    <t xml:space="preserve">MONTAR B4 COM CRUZETA L NO POSTE Q151363. CONECTANDO NUA COM XLPE. FLBIT CONECTORES. </t>
  </si>
  <si>
    <t>Q151363</t>
  </si>
  <si>
    <t>-11,552386</t>
  </si>
  <si>
    <t>-41,157267</t>
  </si>
  <si>
    <t>R$ 22.036,93</t>
  </si>
  <si>
    <t>R$ 9.819,58</t>
  </si>
  <si>
    <t>9102031104</t>
  </si>
  <si>
    <t>B-1121804</t>
  </si>
  <si>
    <t>AL GRUA POV RIO VERDE RURAL</t>
  </si>
  <si>
    <t>ALIMENTADOR SAINDO DA SUBESTAÇÃO  RVD.</t>
  </si>
  <si>
    <t xml:space="preserve">OBRA COM DIVERSAS DIFICULDADES. NÃO HA ACESSO PARA REMOVER OS POSTES E DA PRIMEIRA N3-3 ATE O POSTE D663312 NECESSITA DE ABRIR ACESSO. 
</t>
  </si>
  <si>
    <t>AVALIAR</t>
  </si>
  <si>
    <t>2025-133389</t>
  </si>
  <si>
    <t>1041328</t>
  </si>
  <si>
    <t>E898319 AO E898390</t>
  </si>
  <si>
    <t>72</t>
  </si>
  <si>
    <t>90,00%</t>
  </si>
  <si>
    <t>Q127113</t>
  </si>
  <si>
    <t>-10,981600</t>
  </si>
  <si>
    <t>-42,347256</t>
  </si>
  <si>
    <t>R$ 1.083.462,31</t>
  </si>
  <si>
    <t>R$ 328.271,41</t>
  </si>
  <si>
    <t>J16114</t>
  </si>
  <si>
    <t xml:space="preserve">D534189 </t>
  </si>
  <si>
    <t>DESATIVAR REDE MT DO PG: D534189 AO D358028. ADF DO PG: D534194 AO POSTE NOVO PROXIMO DO PG: B550689.REALOCAR CHAVE J16114 PARA PG: D534193. REALOCAR CHAVE W62645 PARA O PG: D516677. SUBSTITUIR POSTES BT POR AT DO PG: D527804 AO D753316. SUBSTITUIR POSTES AT NO PG: Q200354, Q200353, Q200350, Q200347, Q200346. RECONDUTORAMENTO MT DO PG: D527804 AO D663312. DESATIVAR REDE MT DO PG: Q200345 AO Q127110.</t>
  </si>
  <si>
    <t>9102078569</t>
  </si>
  <si>
    <t>ADICIONAR FASE. INTERCALAR POSTE 12/600 COM FLABIDT +U3 E N1 TRIF.</t>
  </si>
  <si>
    <t>27/10/2025</t>
  </si>
  <si>
    <t>2025-134642</t>
  </si>
  <si>
    <t>1041330</t>
  </si>
  <si>
    <t>E898391 AO E898397</t>
  </si>
  <si>
    <t>B464724</t>
  </si>
  <si>
    <t>-11,805420</t>
  </si>
  <si>
    <t>-41,738076</t>
  </si>
  <si>
    <t>R$ 78.731,36</t>
  </si>
  <si>
    <t>R$ 18.559,37</t>
  </si>
  <si>
    <t>G23544</t>
  </si>
  <si>
    <t xml:space="preserve">B464724 </t>
  </si>
  <si>
    <t xml:space="preserve">ABRIR CHAVE G23544 PARA ADICIONAR FASE DO PG: B464724 AO B926493, SUBSTITUIR TRAFO G48556 POR TRAFO DE 30KVA, SUBSTITUIR RD BT DO  PG: B926493 AO B926494, E ENERGIZAR OBRA. </t>
  </si>
  <si>
    <t>9102297652</t>
  </si>
  <si>
    <t>B-1209864</t>
  </si>
  <si>
    <t>ER-CIND-POV-LAGOA DO AGOSTINHO-RURAL</t>
  </si>
  <si>
    <t>OBRA INICIADA POR OUTRA EPS, E-MAIL ENVIADO 23/10</t>
  </si>
  <si>
    <t>JÁ SENDO EXECUTADO  POR OUTRA EPC.</t>
  </si>
  <si>
    <t>1041333</t>
  </si>
  <si>
    <t>E898398 AO E898405</t>
  </si>
  <si>
    <t>B639953</t>
  </si>
  <si>
    <t>-11,738757</t>
  </si>
  <si>
    <t>-41,518414</t>
  </si>
  <si>
    <t>R$ 86.912,94</t>
  </si>
  <si>
    <t>R$ 17.474,60</t>
  </si>
  <si>
    <t>G58479</t>
  </si>
  <si>
    <t xml:space="preserve">B639954 </t>
  </si>
  <si>
    <t>INTERCALAR POSTE AT COM N1 E TRAFO ENTRE OS PG: B639954 - B639953, FECHAR CHAVE NOVA PRÓXIMO AO PG: B639953 E ENERGIZAR OBRA.</t>
  </si>
  <si>
    <t>9102153430</t>
  </si>
  <si>
    <t xml:space="preserve">MELHORAMENTO EM UM ALIMENTADOR </t>
  </si>
  <si>
    <t>OBRA APITAR PARA CONSTRUÇÃO.
ADF SEGUE COMFORME PONTOS COLETADO.</t>
  </si>
  <si>
    <t>2025-133012</t>
  </si>
  <si>
    <t>2025-133115</t>
  </si>
  <si>
    <t>2025-133223</t>
  </si>
  <si>
    <t>1041336</t>
  </si>
  <si>
    <t>E898406 AO E898422</t>
  </si>
  <si>
    <t>Q124398</t>
  </si>
  <si>
    <t>-11,489303</t>
  </si>
  <si>
    <t>-42,273487</t>
  </si>
  <si>
    <t>R$ 145.283,49</t>
  </si>
  <si>
    <t>R$ 38.120,01</t>
  </si>
  <si>
    <t>MRR-01X1</t>
  </si>
  <si>
    <t>J14193</t>
  </si>
  <si>
    <t xml:space="preserve">Q124398 </t>
  </si>
  <si>
    <t xml:space="preserve">ABRIR CHAVE XXX PARA ADICIONAR FASE DO PG: Q124398 AO D150041 E ENERGIZAR OBRA </t>
  </si>
  <si>
    <t>B-1194973</t>
  </si>
  <si>
    <t>RR-CIND-POV-MUNDINHO-RURAL</t>
  </si>
  <si>
    <t>8,3KM ADF</t>
  </si>
  <si>
    <t>OBRA COM DIVERSAS DIFICULDADES, ATENÇÃO,  AS DUAS OBRAS DE MUNDINHO PEDE PRA ADICIONAR FASE NO MESMO LOCAL E FAZER PRATICAMENTE OS MESMOS SERVIÇOS</t>
  </si>
  <si>
    <t>1041339</t>
  </si>
  <si>
    <t>E898423 AO E898437</t>
  </si>
  <si>
    <t>Q192453</t>
  </si>
  <si>
    <t>-11,029144</t>
  </si>
  <si>
    <t>-42,179368</t>
  </si>
  <si>
    <t>R$ 200.848,05</t>
  </si>
  <si>
    <t>R$ 53.525,14</t>
  </si>
  <si>
    <t>G15214</t>
  </si>
  <si>
    <t xml:space="preserve">Q197445 </t>
  </si>
  <si>
    <t xml:space="preserve">ABRIR CHAVE G15215 PARA ADICIONAR FASE DO PG: Q197445 AO Q192453, SUBST. PT MT Q197462, INTERCALAR POSTE AT C/ N1 E TF ENTRE OS PG: Q192452 - Q192451, </t>
  </si>
  <si>
    <t>9102347134</t>
  </si>
  <si>
    <t xml:space="preserve">ENCABECAR REDE CONFORME PROJETO E SUBSTITUIR OS POSTES. </t>
  </si>
  <si>
    <t>2025-131446</t>
  </si>
  <si>
    <t>2025-131517</t>
  </si>
  <si>
    <t>2025-131461</t>
  </si>
  <si>
    <t>1041341</t>
  </si>
  <si>
    <t>E898438 AO E898444</t>
  </si>
  <si>
    <t>E289570</t>
  </si>
  <si>
    <t>-11,152108</t>
  </si>
  <si>
    <t xml:space="preserve">	-41,801523</t>
  </si>
  <si>
    <t>R$ 124.269,06</t>
  </si>
  <si>
    <t>R$ 45.673,78</t>
  </si>
  <si>
    <t>0,24</t>
  </si>
  <si>
    <t>V22512</t>
  </si>
  <si>
    <t xml:space="preserve">E289571 </t>
  </si>
  <si>
    <t>ABRIR CHAVE DO TRAFO V22513 PARA SUBSTITUIR POSTES BT POR AT DO PG: E289571 AO B319790 E ENERGIZAR OBRA.</t>
  </si>
  <si>
    <t>9102351063</t>
  </si>
  <si>
    <t>B-1229084</t>
  </si>
  <si>
    <t>ER-CIND-POV-QUEIMADA J-RURAL</t>
  </si>
  <si>
    <t>RETIRADA DA CARTEIRA POR RESTRIÇÃO AMBIENTAL, E-MAIL 29/10 -  CONFIRMADO RETIRDA DIA05/11</t>
  </si>
  <si>
    <t>INTERCALAR POSTE MT CONFORME PROJETO. PASSA POSTE DE 12.</t>
  </si>
  <si>
    <t>2025-133601</t>
  </si>
  <si>
    <t>2025-133609</t>
  </si>
  <si>
    <t>1041343</t>
  </si>
  <si>
    <t>E898452 AO E898476</t>
  </si>
  <si>
    <t>A488090</t>
  </si>
  <si>
    <t>-11,856462</t>
  </si>
  <si>
    <t xml:space="preserve">	-41,689598</t>
  </si>
  <si>
    <t>R$ 248.350,18</t>
  </si>
  <si>
    <t>R$ 78.848,43</t>
  </si>
  <si>
    <t>G29189</t>
  </si>
  <si>
    <t xml:space="preserve">A488091 </t>
  </si>
  <si>
    <t>INTERCALAR POSTE AT COM N1-3 ENTRE OS PG: A488091 - A488090, FECHAR CHAVE NOVA PRÓXIMO AO PG: A488090 E ENERGIZAR OBRA.</t>
  </si>
  <si>
    <t>9102340747</t>
  </si>
  <si>
    <t>INTERCALAR POSTE  11/600 COM ESTRUTURA MT N1-3 COM CHAVE. ENTRE OS POSTES Q111957 E O Q111958.</t>
  </si>
  <si>
    <t>2025-138173</t>
  </si>
  <si>
    <t>1041344</t>
  </si>
  <si>
    <t>E898477 AO E898487</t>
  </si>
  <si>
    <t>Q111957</t>
  </si>
  <si>
    <t>-11,157695</t>
  </si>
  <si>
    <t xml:space="preserve">	-41,720149</t>
  </si>
  <si>
    <t>R$ 96.044,74</t>
  </si>
  <si>
    <t>R$ 27.846,85</t>
  </si>
  <si>
    <t>J52506</t>
  </si>
  <si>
    <t>MONTAR BANCADA COM N3 NO PG: Q111957, FECHAR CHAVE NOVA PRÓXIMO AO PG: Q111957 E ENERGIZAR OBRA.</t>
  </si>
  <si>
    <t>9102162832</t>
  </si>
  <si>
    <t>B-1231676</t>
  </si>
  <si>
    <t>IT-GRUA-FAZ- LAGOA NOVA-RURAL</t>
  </si>
  <si>
    <t>OBRA EXECUTADA POR OUTRA EPS COM OUTRO PROJETO</t>
  </si>
  <si>
    <t>OBRA APITA PARA CONSTRUÇÃO CONFORME PROJETO.</t>
  </si>
  <si>
    <t>28/10/2025</t>
  </si>
  <si>
    <t>1041361</t>
  </si>
  <si>
    <t>E898488 AO E898494</t>
  </si>
  <si>
    <t>D631067</t>
  </si>
  <si>
    <t>-11,341875</t>
  </si>
  <si>
    <t xml:space="preserve">	-41,740398</t>
  </si>
  <si>
    <t>R$ 82.519,71</t>
  </si>
  <si>
    <t>R$ 28.849,69</t>
  </si>
  <si>
    <t>IAS-01M2</t>
  </si>
  <si>
    <t>N15263</t>
  </si>
  <si>
    <t>ALTERAR ESTRUTURA DE N3 P/ N4 NO PG: D631067, FECHAR CHAVE NOVA PRÓXIMO AO PG: D631067 E ENERGIZAR OBRA.</t>
  </si>
  <si>
    <t>9101098183</t>
  </si>
  <si>
    <t>B-0791391</t>
  </si>
  <si>
    <t>ME-CCOL-POV. MUNDINHO-RURAL</t>
  </si>
  <si>
    <t>MAIS DE 10KM DE ADF, MELHORAMENTO NO TRECHO DA ADF</t>
  </si>
  <si>
    <t>ENES RAMOS DA SILVA - NTS084535</t>
  </si>
  <si>
    <t>AIC AUDITORIA</t>
  </si>
  <si>
    <t>2025-134400</t>
  </si>
  <si>
    <t>1041820</t>
  </si>
  <si>
    <t>E903605 AO E903654</t>
  </si>
  <si>
    <t>46</t>
  </si>
  <si>
    <t>Q197444</t>
  </si>
  <si>
    <t>-11.077617</t>
  </si>
  <si>
    <t xml:space="preserve"> -42.135719</t>
  </si>
  <si>
    <t>R$ 393.547,22</t>
  </si>
  <si>
    <t>R$ 203.193,51</t>
  </si>
  <si>
    <t>9102343680</t>
  </si>
  <si>
    <t>2,3KM ADF</t>
  </si>
  <si>
    <t>ADF DE ACORDO PROJETO</t>
  </si>
  <si>
    <t>2025-134402</t>
  </si>
  <si>
    <t>2025-134462</t>
  </si>
  <si>
    <t>2025-134906</t>
  </si>
  <si>
    <t>1041821</t>
  </si>
  <si>
    <t>E903655 AO E903680</t>
  </si>
  <si>
    <t xml:space="preserve">	E495412</t>
  </si>
  <si>
    <t>-11,011449</t>
  </si>
  <si>
    <t>-42,293051_x000D_</t>
  </si>
  <si>
    <t>R$ 259.828,23</t>
  </si>
  <si>
    <t>R$ 73.114,07</t>
  </si>
  <si>
    <t>CDI-09Z2</t>
  </si>
  <si>
    <t>W70413</t>
  </si>
  <si>
    <t>E495412</t>
  </si>
  <si>
    <t>9102345439</t>
  </si>
  <si>
    <t>B-1229383</t>
  </si>
  <si>
    <t>ER-CIND-POV-ALAGOINHAS-RURAL-UIBAI</t>
  </si>
  <si>
    <t>DIRECIONADA PRA OUTRA EPS, TENDIDA PELO PARACER 23, SEGUNDO BRUNA VIA HATSAPP DIA 24/10</t>
  </si>
  <si>
    <t>R$ 2.170,56</t>
  </si>
  <si>
    <t>9102345790</t>
  </si>
  <si>
    <t>VERIFICAR SE ESTÁ EM ÁREA DE APP NO GEOBAHIA</t>
  </si>
  <si>
    <t>OBRA APITA PARA CONSTRUÇÃO,</t>
  </si>
  <si>
    <t>2025-134403</t>
  </si>
  <si>
    <t>2025-138904</t>
  </si>
  <si>
    <t>2025-134464</t>
  </si>
  <si>
    <t>1041822</t>
  </si>
  <si>
    <t>E903681 AO E903703</t>
  </si>
  <si>
    <t>E794492</t>
  </si>
  <si>
    <t>-11.392045</t>
  </si>
  <si>
    <t>-42.000308</t>
  </si>
  <si>
    <t>IRC-01L2</t>
  </si>
  <si>
    <t>E23828</t>
  </si>
  <si>
    <t>9102340321</t>
  </si>
  <si>
    <t>APTA DE ACORDO PROJETO</t>
  </si>
  <si>
    <t>2025-138942</t>
  </si>
  <si>
    <t>2025-136100</t>
  </si>
  <si>
    <t>1042255</t>
  </si>
  <si>
    <t>E906216 AO E906257
E898313 AO E898317</t>
  </si>
  <si>
    <t>50,00%</t>
  </si>
  <si>
    <t>V33704</t>
  </si>
  <si>
    <t>E463624</t>
  </si>
  <si>
    <t>ALTERAR ESTRUTURA DE N3 P/ N4 NO PG: E463624, FECHAR CHAVE NOVA PRÓXIMO AO PG: E463624 E ENERGIZAR OBRA.</t>
  </si>
  <si>
    <t>9102318500</t>
  </si>
  <si>
    <t>ALEX SANDRO SANTOS BISPO - NTS877502</t>
  </si>
  <si>
    <t>ALTERAR DERIVAÇÃO.  EXTENDER A REDE BT PELOS POSTES DA SEQUENCIA B678842, B678843</t>
  </si>
  <si>
    <t>2025-137899</t>
  </si>
  <si>
    <t>2025-136118</t>
  </si>
  <si>
    <t>1042256</t>
  </si>
  <si>
    <t>E906345 AO E906399</t>
  </si>
  <si>
    <t>B678842</t>
  </si>
  <si>
    <t>-11.346185</t>
  </si>
  <si>
    <t>-41.639873</t>
  </si>
  <si>
    <t>ADD-01W3</t>
  </si>
  <si>
    <t>J15244</t>
  </si>
  <si>
    <t>B678841</t>
  </si>
  <si>
    <t>MONTAR BANCADA PARA TRAFO NO PG: B678841, INTERCALAR POSTE AT C/ N1 ENTRE OS PG:  Q121336, FECHAR CHAVE DO TRAFO E ENERGIZAR OBRA.</t>
  </si>
  <si>
    <t>9102341797</t>
  </si>
  <si>
    <t>OBRA APITA PARA CONSTRUÇÃO DE ACORDO PROJETO</t>
  </si>
  <si>
    <t>2025-135803</t>
  </si>
  <si>
    <t>2025-11-5958</t>
  </si>
  <si>
    <t>E549156</t>
  </si>
  <si>
    <t>-11.761734</t>
  </si>
  <si>
    <t>-41.900450</t>
  </si>
  <si>
    <t>N05971</t>
  </si>
  <si>
    <t>9102345879</t>
  </si>
  <si>
    <t>2025-135805</t>
  </si>
  <si>
    <t>1042199</t>
  </si>
  <si>
    <t>E905895 AO E905902</t>
  </si>
  <si>
    <t>2025-11-12205</t>
  </si>
  <si>
    <t>E788145</t>
  </si>
  <si>
    <t>-11.662674</t>
  </si>
  <si>
    <t>-42.010983</t>
  </si>
  <si>
    <t>E22379</t>
  </si>
  <si>
    <t>INTERCALAR POSTE 11600 CONFORME PROJETO.</t>
  </si>
  <si>
    <t>1042729</t>
  </si>
  <si>
    <t>E910216 AO E910241</t>
  </si>
  <si>
    <t>Q183512</t>
  </si>
  <si>
    <t>-11.140086</t>
  </si>
  <si>
    <t>-41.966723</t>
  </si>
  <si>
    <t>IRC-01L7</t>
  </si>
  <si>
    <t>J08964</t>
  </si>
  <si>
    <t>Q182811</t>
  </si>
  <si>
    <t>INTERCALAR POSTE AT COM N4-3 ENTRE OS PG: Q182811 - Q182812,   FECHAR CHAVE NOVA PRÓXIMO AO PG: Q182811 E ENERGIZAR OBRA.</t>
  </si>
  <si>
    <t>B-1076231</t>
  </si>
  <si>
    <t>MP-CCOL - ET XIQUE XIQUE A BARRA RURAL</t>
  </si>
  <si>
    <t>POSSIVELMENTE CONSTRUIDA , RETIRAR DA CARTEIRA</t>
  </si>
  <si>
    <t>B668042</t>
  </si>
  <si>
    <t>-10.980317</t>
  </si>
  <si>
    <t>-42.722359</t>
  </si>
  <si>
    <t>G37716</t>
  </si>
  <si>
    <t>B668041</t>
  </si>
  <si>
    <t>ALTERAR ESTRUTURA DE N3 P/ N4 NO PG: B668041, FECHAR CHAVE NOVA PRÓXIMO AO PG: B668041 E ENERGIZAR OBRA.</t>
  </si>
  <si>
    <t>ENCABEÇAR REDE CONFORME PROJETO.</t>
  </si>
  <si>
    <t>2025-140375</t>
  </si>
  <si>
    <t>2025-140430</t>
  </si>
  <si>
    <t>1042731</t>
  </si>
  <si>
    <t>E910242 AO E910260
E815282 AO E815286</t>
  </si>
  <si>
    <t>B896862</t>
  </si>
  <si>
    <t>-11,425907</t>
  </si>
  <si>
    <t>-41,786496</t>
  </si>
  <si>
    <t>0,56</t>
  </si>
  <si>
    <t>V47712</t>
  </si>
  <si>
    <t>B896863</t>
  </si>
  <si>
    <t>ALTERAR ESTRUTURA DE N3 P/ N4  NO PG: B896863, FECHAR CHAVE NOVA PRÓXIMO AO PG: B099445 E ENERGIZAR OBRA.</t>
  </si>
  <si>
    <t>OBRA APITA PARA CONSTRUÇÃO.</t>
  </si>
  <si>
    <t>06/11</t>
  </si>
  <si>
    <t>1042732</t>
  </si>
  <si>
    <t>E910261 AO E910294</t>
  </si>
  <si>
    <t>E738428</t>
  </si>
  <si>
    <t>-10,944534</t>
  </si>
  <si>
    <t>-42,174867</t>
  </si>
  <si>
    <t>G35275</t>
  </si>
  <si>
    <t>MONTAR BANCADA COM N3 NO PG: E738428, FECHAR CHAVE NOVA PRÓXIMO AO PG: E738428 E ENERGIZAR OBRA.</t>
  </si>
  <si>
    <t xml:space="preserve">ENCABEÇAR REDE CONFORME PROJETO. </t>
  </si>
  <si>
    <t>1042736</t>
  </si>
  <si>
    <t>E910295 AO E910325</t>
  </si>
  <si>
    <t>E851848</t>
  </si>
  <si>
    <t>-11,531419</t>
  </si>
  <si>
    <t>-41,778071</t>
  </si>
  <si>
    <t>IAS-01M4</t>
  </si>
  <si>
    <t>E75221</t>
  </si>
  <si>
    <t>ALTERAR ESTRUTURA DE N3 P/ N4 NO PG: E851848, FECHAR CHAVE NOVA PRÓXIMO AO PG: E851848 E ENERGIZAR OBRA.</t>
  </si>
  <si>
    <t>SEM MAGNÉTICO
OBRA CARTEIRA DEZ/25 - EXECUÇÃO ANTECIPADA</t>
  </si>
  <si>
    <t>SEM MAGNÉTICO / LEVANTAMENTO</t>
  </si>
  <si>
    <t>INTERCALAR POSTE 11/600N1-3 CONFORME PROJETO</t>
  </si>
  <si>
    <t>1042741</t>
  </si>
  <si>
    <t>E910326 AO E910367</t>
  </si>
  <si>
    <t>D065549</t>
  </si>
  <si>
    <t>-11,368254</t>
  </si>
  <si>
    <t>-41,420982</t>
  </si>
  <si>
    <t>AMD-01N2</t>
  </si>
  <si>
    <t>J53770</t>
  </si>
  <si>
    <t>INTERCALAR POSTE AT COM N1-3 ENTRE OS PG: D065549 - D065550, FECHAR CHAVE NOVA PRÓXIMO AO PG: D065549  E ENERGIZAR OBRA.</t>
  </si>
  <si>
    <t>OBRA CARTEIRA DEZ/25 - EXECUÇÃO ANTECIPADA</t>
  </si>
  <si>
    <t>06/10/25</t>
  </si>
  <si>
    <t>REMOVER A REDE DE CIMA DAS CASAS CONFORME PROJETO.</t>
  </si>
  <si>
    <t>07/11/25</t>
  </si>
  <si>
    <t>07/11</t>
  </si>
  <si>
    <t>Q121587</t>
  </si>
  <si>
    <t>-12.215743</t>
  </si>
  <si>
    <t>-42.01724</t>
  </si>
  <si>
    <t>SEA-01X3</t>
  </si>
  <si>
    <t>G00304</t>
  </si>
  <si>
    <t>INTERCALAR POSTE AT COM N4 ENTRE OS PG: Q121587 - Q121588, E ENERGIZAR OBRA.</t>
  </si>
  <si>
    <t>OBRA CARTEIRA DEZ/25 - APARENTIMENTE JÁ EXECUTADA</t>
  </si>
  <si>
    <t>A490614</t>
  </si>
  <si>
    <t>-11.909983</t>
  </si>
  <si>
    <t>-41.74357</t>
  </si>
  <si>
    <t>G29457</t>
  </si>
  <si>
    <t>A490612</t>
  </si>
  <si>
    <t>EM CONJUNTO COM DESLIGAMENTO PARA SUBSTITUIR POSTE AT NO PG: A490612 POR POSTE 12/600  C/ TRAFO  E ENERGIZAR OBRA.</t>
  </si>
  <si>
    <t>ENCABEÇAR REDE CONFORME PROJETO. APENAS ROLDANA, ALÇA E CONECTORES.</t>
  </si>
  <si>
    <t>D689421</t>
  </si>
  <si>
    <t>-11.920686</t>
  </si>
  <si>
    <t>-42.03913</t>
  </si>
  <si>
    <t>IBB-01Y2</t>
  </si>
  <si>
    <t>N36599</t>
  </si>
  <si>
    <t>ENCABEÇAR RD BT NO PG: D689421 E ENERGIZAR OBRA.</t>
  </si>
  <si>
    <t>OBRA APITAR PARA CONSTRUÇÃO CONFORME PROJETO</t>
  </si>
  <si>
    <t>D080061</t>
  </si>
  <si>
    <t>-11,817043</t>
  </si>
  <si>
    <t>-41,506068</t>
  </si>
  <si>
    <t>H35541</t>
  </si>
  <si>
    <t>ENCABEÇAR RD BT NO PG: D080061 E ENERGIZAR OBRA.</t>
  </si>
  <si>
    <t>E815289 AO E815290</t>
  </si>
  <si>
    <t>D750015</t>
  </si>
  <si>
    <t>-11,687142</t>
  </si>
  <si>
    <t>-41,522492</t>
  </si>
  <si>
    <t>JDO-01J1</t>
  </si>
  <si>
    <t>J15677</t>
  </si>
  <si>
    <t>Q123409</t>
  </si>
  <si>
    <t>ENCABEÇAR RD BT NO PG: Q123409 E ENERGIZAR OBRA.</t>
  </si>
  <si>
    <t>E815267 AO E815268</t>
  </si>
  <si>
    <t>D686703</t>
  </si>
  <si>
    <t>-11,703122</t>
  </si>
  <si>
    <t>-41,471645</t>
  </si>
  <si>
    <t>W00500</t>
  </si>
  <si>
    <t>ENCABEÇAR RD BT NO PG: D686703 E ENERGIZAR OBRA.</t>
  </si>
  <si>
    <t>NOTA: O PONTO DE ENTREGA E DENTRO DA SUBESTAÇÃO DA CHESF._x000D_
TEM QUE AJENDAR A VISITA</t>
  </si>
  <si>
    <t>E163996</t>
  </si>
  <si>
    <t>-11,716316</t>
  </si>
  <si>
    <t>-41,400588</t>
  </si>
  <si>
    <t>V13854</t>
  </si>
  <si>
    <t>INTERCALAR POSTE AT COM N1-3 ENTRE OS PG: E163996 - E163997,  E ENERGIZAR OBRA.</t>
  </si>
  <si>
    <t/>
  </si>
  <si>
    <t>Programar retro p/ 1 cava</t>
  </si>
  <si>
    <t>Pendente envio de concreto</t>
  </si>
  <si>
    <t>43</t>
  </si>
  <si>
    <t>Programar retro</t>
  </si>
  <si>
    <t>x</t>
  </si>
  <si>
    <t>2025-11-24281</t>
  </si>
  <si>
    <t>B-1235122</t>
  </si>
  <si>
    <t>B-1235135</t>
  </si>
  <si>
    <t>E463623</t>
  </si>
  <si>
    <t>-10,831900</t>
  </si>
  <si>
    <t>-42,539303</t>
  </si>
  <si>
    <t>08/11/25</t>
  </si>
  <si>
    <t>2025-143074</t>
  </si>
  <si>
    <t>09/12/2025</t>
  </si>
  <si>
    <t>2025-143099</t>
  </si>
  <si>
    <t>05/12/2025</t>
  </si>
  <si>
    <t>2025-143075</t>
  </si>
  <si>
    <t>2025-143104</t>
  </si>
  <si>
    <t>2025-142690</t>
  </si>
  <si>
    <t>08/12/2025</t>
  </si>
  <si>
    <t>2025-142700</t>
  </si>
  <si>
    <t>2288</t>
  </si>
  <si>
    <t>2025-143077</t>
  </si>
  <si>
    <t>2025-143105</t>
  </si>
  <si>
    <t xml:space="preserve">DEZEMBRO </t>
  </si>
  <si>
    <t>E906399</t>
  </si>
  <si>
    <t>E810376 AO E810378</t>
  </si>
  <si>
    <t>POSTE PREV</t>
  </si>
  <si>
    <t>INICIO</t>
  </si>
  <si>
    <t>TERMINO</t>
  </si>
  <si>
    <t>CAVA EXEC</t>
  </si>
  <si>
    <t xml:space="preserve">2025-132808
2025-143475
</t>
  </si>
  <si>
    <t>19/11/2025
21/11/2025</t>
  </si>
  <si>
    <t>16</t>
  </si>
  <si>
    <t>16%</t>
  </si>
  <si>
    <t>20</t>
  </si>
  <si>
    <t>MOTIVO DO ATRASO</t>
  </si>
  <si>
    <t xml:space="preserve">N3 PARA N4 EM POSTE EXISTENTE EM REDE 3X04 13,8Kv </t>
  </si>
  <si>
    <t>N3 PARA N4 EM POSTE EXISTENTE EM REDE 3X04 13,8Kv</t>
  </si>
  <si>
    <t>CAVA EM ROCHA</t>
  </si>
  <si>
    <t>08/11/2025</t>
  </si>
  <si>
    <t xml:space="preserve">OBRA DE INFLAESTRUTURA IP </t>
  </si>
  <si>
    <t>DP 19/11 E 21/11 - ADF</t>
  </si>
  <si>
    <t>WILIAN SILVA, UBERDAN</t>
  </si>
  <si>
    <t>INTERCALAR POSTE 11/600 N1 - N3 CF EM REDE 3X04 13,8Kv  - CAVA COM RETRO</t>
  </si>
  <si>
    <t>DP 18/11 E 24/11  - DESATIVAR REDE E INTERLIGAR TECHO NOVO</t>
  </si>
  <si>
    <t xml:space="preserve">DP 25/11 </t>
  </si>
  <si>
    <t>ATRASADA</t>
  </si>
  <si>
    <t>87%</t>
  </si>
  <si>
    <t xml:space="preserve">CONCLUÍDA </t>
  </si>
  <si>
    <t>11/11/25</t>
  </si>
  <si>
    <t>2025-11-40259</t>
  </si>
  <si>
    <t>12/11/25</t>
  </si>
  <si>
    <t>B-1235745</t>
  </si>
  <si>
    <t>B-1235750</t>
  </si>
  <si>
    <t>2025-133101
2025-145124</t>
  </si>
  <si>
    <t>01/12/2025
12/12/2025</t>
  </si>
  <si>
    <t>2025-11-37779</t>
  </si>
  <si>
    <t>2025-11-39586</t>
  </si>
  <si>
    <t>2025-11-37987</t>
  </si>
  <si>
    <t>PARALISADA</t>
  </si>
  <si>
    <t>2296</t>
  </si>
  <si>
    <t>2025-134488
2025-144132</t>
  </si>
  <si>
    <t>18/11/2025
24/11/2025</t>
  </si>
  <si>
    <t>45</t>
  </si>
  <si>
    <t>B-1235747</t>
  </si>
  <si>
    <t>B-1235754</t>
  </si>
  <si>
    <t>1043083</t>
  </si>
  <si>
    <t>E915205 AO E915257</t>
  </si>
  <si>
    <t>REVISITAR</t>
  </si>
  <si>
    <t>N3M EM POSTE EXISTENTE EM REDE 2X04 13,8Kv - ENERGIZAR NO MES 12</t>
  </si>
  <si>
    <t>64</t>
  </si>
  <si>
    <t>15/11/2025</t>
  </si>
  <si>
    <t>42</t>
  </si>
  <si>
    <t>PLANO 14.4.12.1-LPT</t>
  </si>
  <si>
    <t>13/11/25</t>
  </si>
  <si>
    <t>2025-11-46921</t>
  </si>
  <si>
    <t>2025-11-46823</t>
  </si>
  <si>
    <t>25%</t>
  </si>
  <si>
    <t>X-1235682</t>
  </si>
  <si>
    <t>X-1235709</t>
  </si>
  <si>
    <t>47%</t>
  </si>
  <si>
    <t>Programar LV</t>
  </si>
  <si>
    <t>B-1235762</t>
  </si>
  <si>
    <t xml:space="preserve">JOSE EDUARDO GOMES DOS SANTOS LIMA - U468835 </t>
  </si>
  <si>
    <t>2025-11-44942</t>
  </si>
  <si>
    <t>40</t>
  </si>
  <si>
    <t>83%</t>
  </si>
  <si>
    <t>R$ 297.594,02</t>
  </si>
  <si>
    <t>B-1235744</t>
  </si>
  <si>
    <t>B-1235749</t>
  </si>
  <si>
    <t>2025-11-42952</t>
  </si>
  <si>
    <t>27%</t>
  </si>
  <si>
    <t>18%</t>
  </si>
  <si>
    <t>B-1235763</t>
  </si>
  <si>
    <t>B-1235765</t>
  </si>
  <si>
    <t>R$ 170.474,55</t>
  </si>
  <si>
    <t>R$ 292.247,67</t>
  </si>
  <si>
    <t>50</t>
  </si>
  <si>
    <t>R$ 356.724,26</t>
  </si>
  <si>
    <t>R$ 12.278,16</t>
  </si>
  <si>
    <t>R$ 40.752,69</t>
  </si>
  <si>
    <t>9101781330</t>
  </si>
  <si>
    <t>X-1052872</t>
  </si>
  <si>
    <t>X-1053459</t>
  </si>
  <si>
    <t>R$ 187.830,77</t>
  </si>
  <si>
    <t>9102057060</t>
  </si>
  <si>
    <t>R$ 182.213,95</t>
  </si>
  <si>
    <t>9102348341</t>
  </si>
  <si>
    <t>R$ 277.162,30</t>
  </si>
  <si>
    <t>9102351265</t>
  </si>
  <si>
    <t>39%</t>
  </si>
  <si>
    <t>R$ 229.055,26</t>
  </si>
  <si>
    <t>9102346893</t>
  </si>
  <si>
    <t>R$ 338.006,34</t>
  </si>
  <si>
    <t>9102349415</t>
  </si>
  <si>
    <t>R$ 275.248,51</t>
  </si>
  <si>
    <t>9101866473</t>
  </si>
  <si>
    <t>R$ 22.368,24</t>
  </si>
  <si>
    <t>9101491098</t>
  </si>
  <si>
    <t>R$ 25.671,70</t>
  </si>
  <si>
    <t>9102351699</t>
  </si>
  <si>
    <t>R$ 15.619,51</t>
  </si>
  <si>
    <t>9102342379</t>
  </si>
  <si>
    <t>R$ 15.364,73</t>
  </si>
  <si>
    <t>9102344414</t>
  </si>
  <si>
    <t>R$ 17.711,10</t>
  </si>
  <si>
    <t>9102340969</t>
  </si>
  <si>
    <t>R$ 12.458,68</t>
  </si>
  <si>
    <t>9102346492</t>
  </si>
  <si>
    <t>2025-146138</t>
  </si>
  <si>
    <t>14/12/2025</t>
  </si>
  <si>
    <t>R$ 9.546,47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</si>
</sst>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34B3211-81FB-41C5-A198-C06B11334AD1}" autoFormatId="16" applyNumberFormats="0" applyBorderFormats="0" applyFontFormats="0" applyPatternFormats="0" applyAlignmentFormats="0" applyWidthHeightFormats="0">
  <queryTableRefresh nextId="32" unboundColumnsRight="10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31" name="Column16" tableColumnId="2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9" dataBound="0" tableColumnId="16"/>
    </queryTableFields>
    <queryTableDeletedFields count="1">
      <deletedField name="Column1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51DF1EF-ACD8-4259-B147-B007C51AACE7}" autoFormatId="16" applyNumberFormats="0" applyBorderFormats="0" applyFontFormats="0" applyPatternFormats="0" applyAlignmentFormats="0" applyWidthHeightFormats="0">
  <queryTableRefresh nextId="68">
    <queryTableFields count="6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6974F-7E6B-444E-9E6C-B627218886A4}" name="pub?gid_1064752002_single_true_output_csv" displayName="pub?gid_1064752002_single_true_output_csv" ref="A1:Z57" tableType="queryTable" totalsRowShown="0" headerRowDxfId="92">
  <autoFilter ref="A1:Z57" xr:uid="{90B6974F-7E6B-444E-9E6C-B627218886A4}"/>
  <tableColumns count="26">
    <tableColumn id="1" xr3:uid="{D03ACDE2-1838-402D-B0DE-753D8AD05550}" uniqueName="1" name="Column1" queryTableFieldId="1" dataDxfId="91"/>
    <tableColumn id="2" xr3:uid="{1726F39C-ED02-4590-B813-6C67A02D8F9E}" uniqueName="2" name="Column2" queryTableFieldId="2" dataDxfId="90"/>
    <tableColumn id="3" xr3:uid="{4D17200F-820F-415E-8C83-E10588CA8AE1}" uniqueName="3" name="Column3" queryTableFieldId="3" dataDxfId="89"/>
    <tableColumn id="4" xr3:uid="{F5BB3555-BCB2-4766-8031-52A46B8E58B4}" uniqueName="4" name="Column4" queryTableFieldId="4" dataDxfId="88"/>
    <tableColumn id="5" xr3:uid="{C4614FA5-311B-4E0D-B575-FA427E4C167E}" uniqueName="5" name="Column5" queryTableFieldId="5" dataDxfId="87"/>
    <tableColumn id="6" xr3:uid="{3E739F8B-8F65-4805-8927-DD7CBBA3FBDA}" uniqueName="6" name="Column6" queryTableFieldId="6" dataDxfId="86"/>
    <tableColumn id="7" xr3:uid="{09976E88-E736-4F6B-8BA6-71860EB2EC5A}" uniqueName="7" name="Column7" queryTableFieldId="7" dataDxfId="85"/>
    <tableColumn id="8" xr3:uid="{0533A174-7D64-41AC-BCD1-5F500CF15D8B}" uniqueName="8" name="Column8" queryTableFieldId="8" dataDxfId="84"/>
    <tableColumn id="9" xr3:uid="{BE074862-EACC-44EA-8072-76A1AACA6DD5}" uniqueName="9" name="Column9" queryTableFieldId="9" dataDxfId="83"/>
    <tableColumn id="10" xr3:uid="{D6A756A6-79AE-4C55-8028-A40B7F308D74}" uniqueName="10" name="Column10" queryTableFieldId="10" dataDxfId="82"/>
    <tableColumn id="11" xr3:uid="{0B3050D6-C304-428C-9EB0-69FB34CC2807}" uniqueName="11" name="Column11" queryTableFieldId="11" dataDxfId="81"/>
    <tableColumn id="12" xr3:uid="{2F91DA9C-B82E-4BE6-A3C8-3366A893238C}" uniqueName="12" name="Column12" queryTableFieldId="12" dataDxfId="80"/>
    <tableColumn id="13" xr3:uid="{14425660-6AF4-4698-9118-9D017506596E}" uniqueName="13" name="Column13" queryTableFieldId="13" dataDxfId="79"/>
    <tableColumn id="14" xr3:uid="{6D6FC65E-B813-4116-B494-7485ADD0F390}" uniqueName="14" name="Column14" queryTableFieldId="14" dataDxfId="78"/>
    <tableColumn id="15" xr3:uid="{36AC6C70-8EA9-400B-A1F4-3EB27FC55C64}" uniqueName="15" name="Column15" queryTableFieldId="15" dataDxfId="77"/>
    <tableColumn id="27" xr3:uid="{DA38FFD8-CEBE-4E69-B32F-FA48CEB2E844}" uniqueName="27" name="Column16" queryTableFieldId="31"/>
    <tableColumn id="18" xr3:uid="{0DE0ABF8-F001-435F-9952-D1624AD1278F}" uniqueName="18" name="LATITUDE" queryTableFieldId="18" dataDxfId="76">
      <calculatedColumnFormula>VLOOKUP(pub?gid_1064752002_single_true_output_csv[[#This Row],[Column3]],UTDNOVEMBRO!B:AQ,42,FALSE)</calculatedColumnFormula>
    </tableColumn>
    <tableColumn id="19" xr3:uid="{2347DB55-4E25-4B10-9769-F5A5938AEAC6}" uniqueName="19" name="LONGITUDE" queryTableFieldId="19" dataDxfId="75">
      <calculatedColumnFormula>VLOOKUP(pub?gid_1064752002_single_true_output_csv[[#This Row],[Column3]],UTDNOVEMBRO!B:AU,43,FALSE)</calculatedColumnFormula>
    </tableColumn>
    <tableColumn id="20" xr3:uid="{B8BDB0BF-F982-42A4-8F1D-F9529018A0E6}" uniqueName="20" name="CLIENTES PREVISTOS" queryTableFieldId="20" dataDxfId="74">
      <calculatedColumnFormula>VLOOKUP(pub?gid_1064752002_single_true_output_csv[[#This Row],[Column3]],UTDNOVEMBRO!B:AC,28,FALSE)</calculatedColumnFormula>
    </tableColumn>
    <tableColumn id="21" xr3:uid="{22A28529-317A-4823-A26A-50453E52DFE3}" uniqueName="21" name="PROJETO KIT" queryTableFieldId="21" dataDxfId="73">
      <calculatedColumnFormula>VLOOKUP(pub?gid_1064752002_single_true_output_csv[[#This Row],[Column3]],UTDNOVEMBRO!B:C,2,FALSE)</calculatedColumnFormula>
    </tableColumn>
    <tableColumn id="22" xr3:uid="{5B5523D5-E84D-4FE5-A01E-7AC41EFFEF67}" uniqueName="22" name="PROJETO MEDIDOR" queryTableFieldId="22" dataDxfId="72">
      <calculatedColumnFormula>VLOOKUP(pub?gid_1064752002_single_true_output_csv[[#This Row],[Column3]],UTDNOVEMBRO!B:D,3,FALSE)</calculatedColumnFormula>
    </tableColumn>
    <tableColumn id="23" xr3:uid="{0C85A154-EF05-4644-BC6B-FC8C4856F6D1}" uniqueName="23" name="AR COELBA" queryTableFieldId="23" dataDxfId="71">
      <calculatedColumnFormula>VLOOKUP(pub?gid_1064752002_single_true_output_csv[[#This Row],[Column3]],UTDNOVEMBRO!B:K,10,FALSE)</calculatedColumnFormula>
    </tableColumn>
    <tableColumn id="24" xr3:uid="{D4D0612C-18D6-47DB-93E3-74802F1FA10F}" uniqueName="24" name="VISITA PRÉVIA" queryTableFieldId="24" dataDxfId="70">
      <calculatedColumnFormula>VLOOKUP(pub?gid_1064752002_single_true_output_csv[[#This Row],[Column3]],UTDNOVEMBRO!B:N,13,FALSE)</calculatedColumnFormula>
    </tableColumn>
    <tableColumn id="25" xr3:uid="{FC401E11-C005-46F4-B511-2CE2F0A961CD}" uniqueName="25" name="OBSERVAÇÃO DA VISITA" queryTableFieldId="25" dataDxfId="69">
      <calculatedColumnFormula>VLOOKUP(pub?gid_1064752002_single_true_output_csv[[#This Row],[Column3]],UTDNOVEMBRO!B:O,14,FALSE)</calculatedColumnFormula>
    </tableColumn>
    <tableColumn id="26" xr3:uid="{940D31FA-9B83-4820-9C29-0521F7590E9B}" uniqueName="26" name="ANÁLISE PRÉ FECH" queryTableFieldId="26" dataDxfId="68">
      <calculatedColumnFormula>VLOOKUP(pub?gid_1064752002_single_true_output_csv[[#This Row],[Column3]],UTDNOVEMBRO!B:P,15,FALSE)</calculatedColumnFormula>
    </tableColumn>
    <tableColumn id="16" xr3:uid="{122221A7-AB9A-4E63-B0B8-0A7EAA683A11}" uniqueName="16" name="SOLICITAÇÃO DE RESERVA" queryTableFieldId="29" dataDxfId="67">
      <calculatedColumnFormula>VLOOKUP(pub?gid_1064752002_single_true_output_csv[[#This Row],[Column3]],UTDNOVEMBRO!B:Q,15,FALSE)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7EA88-285C-42D8-ADB4-E71A7D8DE8CA}" name="pub?gid_3738513_single_true_output_csv" displayName="pub?gid_3738513_single_true_output_csv" ref="A1:BO87" tableType="queryTable" totalsRowShown="0">
  <autoFilter ref="A1:BO87" xr:uid="{2797EA88-285C-42D8-ADB4-E71A7D8DE8CA}"/>
  <tableColumns count="67">
    <tableColumn id="1" xr3:uid="{5C2593A7-72F5-45FE-8EC5-B0AE7FF61924}" uniqueName="1" name="Column1" queryTableFieldId="1" dataDxfId="66"/>
    <tableColumn id="2" xr3:uid="{505564C8-DF14-4279-B2C9-D7211884A65E}" uniqueName="2" name="Column2" queryTableFieldId="2" dataDxfId="65"/>
    <tableColumn id="3" xr3:uid="{F6465AAB-01E3-40E5-B9AE-EA999FBCCE8B}" uniqueName="3" name="Column3" queryTableFieldId="3" dataDxfId="64"/>
    <tableColumn id="4" xr3:uid="{485A2B29-AB88-4CBC-A3B8-1A234A43F0A1}" uniqueName="4" name="Column4" queryTableFieldId="4" dataDxfId="63"/>
    <tableColumn id="5" xr3:uid="{179EEADA-7CE3-4F94-9A8A-D310AFC1B9BD}" uniqueName="5" name="Column5" queryTableFieldId="5" dataDxfId="62"/>
    <tableColumn id="6" xr3:uid="{6DA664B4-909A-485D-9CCA-49C47F308C94}" uniqueName="6" name="Column6" queryTableFieldId="6" dataDxfId="61"/>
    <tableColumn id="7" xr3:uid="{FEBFDC84-8257-477B-A682-7F3038E80954}" uniqueName="7" name="Column7" queryTableFieldId="7" dataDxfId="60"/>
    <tableColumn id="8" xr3:uid="{2FA3049E-D602-473A-AF56-B8A4F948C662}" uniqueName="8" name="Column8" queryTableFieldId="8" dataDxfId="59"/>
    <tableColumn id="9" xr3:uid="{EC5134D4-BE44-4E54-8A97-1919C92E1E30}" uniqueName="9" name="Column9" queryTableFieldId="9" dataDxfId="58"/>
    <tableColumn id="10" xr3:uid="{9577344C-50DF-4351-8984-687F8FBA3B14}" uniqueName="10" name="Column10" queryTableFieldId="10" dataDxfId="57"/>
    <tableColumn id="11" xr3:uid="{7F8797F3-4E3F-4D7B-9117-B21FA715D92B}" uniqueName="11" name="Column11" queryTableFieldId="11" dataDxfId="56"/>
    <tableColumn id="12" xr3:uid="{68EFFFFD-9F75-42A9-9602-DE921677CA31}" uniqueName="12" name="Column12" queryTableFieldId="12" dataDxfId="55"/>
    <tableColumn id="13" xr3:uid="{5363E459-E7F0-43AD-A94C-F3BCF72A23A5}" uniqueName="13" name="Column13" queryTableFieldId="13" dataDxfId="54"/>
    <tableColumn id="14" xr3:uid="{6AA15464-7375-45EB-A1AC-DA383DFC9187}" uniqueName="14" name="Column14" queryTableFieldId="14" dataDxfId="53"/>
    <tableColumn id="15" xr3:uid="{58934A46-B9CC-4C7B-AE36-D3F6D9C136A3}" uniqueName="15" name="Column15" queryTableFieldId="15" dataDxfId="52"/>
    <tableColumn id="16" xr3:uid="{08B47DDF-6653-4097-817D-71DB1EAC7610}" uniqueName="16" name="Column16" queryTableFieldId="16" dataDxfId="51"/>
    <tableColumn id="17" xr3:uid="{0125B685-A21A-4477-9740-0A1B29B3E54C}" uniqueName="17" name="Column17" queryTableFieldId="17" dataDxfId="50"/>
    <tableColumn id="18" xr3:uid="{7D2B3DFC-A4C4-4E0B-92A3-AF4C3079567E}" uniqueName="18" name="Column18" queryTableFieldId="18" dataDxfId="49"/>
    <tableColumn id="19" xr3:uid="{5BBC5447-ED6D-46E4-85A4-4035FC95536B}" uniqueName="19" name="Column19" queryTableFieldId="19" dataDxfId="48"/>
    <tableColumn id="20" xr3:uid="{6FD0D5F0-7113-4551-9A2C-85BFE7B7E730}" uniqueName="20" name="Column20" queryTableFieldId="20" dataDxfId="47"/>
    <tableColumn id="21" xr3:uid="{ADDDB640-A1F6-4F3D-9507-1EB57A3A83AD}" uniqueName="21" name="Column21" queryTableFieldId="21" dataDxfId="46"/>
    <tableColumn id="22" xr3:uid="{D980F231-C815-46CC-B1A3-F785E3ED30B6}" uniqueName="22" name="Column22" queryTableFieldId="22" dataDxfId="45"/>
    <tableColumn id="23" xr3:uid="{217FC323-90E9-4DF7-A407-E5ADB117A867}" uniqueName="23" name="Column23" queryTableFieldId="23" dataDxfId="44"/>
    <tableColumn id="24" xr3:uid="{B845158D-6F88-4845-98E5-FA2E82F23027}" uniqueName="24" name="Column24" queryTableFieldId="24" dataDxfId="43"/>
    <tableColumn id="25" xr3:uid="{35D3EC06-E4F8-462D-8097-71D7D167ABCB}" uniqueName="25" name="Column25" queryTableFieldId="25" dataDxfId="42"/>
    <tableColumn id="26" xr3:uid="{957F8654-0696-4205-89D0-39966244CCEC}" uniqueName="26" name="Column26" queryTableFieldId="26" dataDxfId="41"/>
    <tableColumn id="27" xr3:uid="{210CBC9A-C89B-498D-A43A-A3F9AEC56500}" uniqueName="27" name="Column27" queryTableFieldId="27" dataDxfId="40"/>
    <tableColumn id="28" xr3:uid="{9EAC8574-AC6D-4967-8A09-EBC20264441A}" uniqueName="28" name="Column28" queryTableFieldId="28" dataDxfId="39"/>
    <tableColumn id="29" xr3:uid="{A6DA561B-FAA8-430C-9BF0-219BDABDDCD5}" uniqueName="29" name="Column29" queryTableFieldId="29" dataDxfId="38"/>
    <tableColumn id="30" xr3:uid="{BDA6DA76-F926-40D8-A789-2E43797E0177}" uniqueName="30" name="Column30" queryTableFieldId="30" dataDxfId="37"/>
    <tableColumn id="31" xr3:uid="{BD90D420-9BD1-499B-B1AD-0982D4FC070F}" uniqueName="31" name="Column31" queryTableFieldId="31" dataDxfId="36"/>
    <tableColumn id="32" xr3:uid="{4A3EB070-8974-42DF-84EB-1592C712FC9D}" uniqueName="32" name="Column32" queryTableFieldId="32" dataDxfId="35"/>
    <tableColumn id="33" xr3:uid="{04CAA0E2-6D6E-4224-8339-E400A948EC67}" uniqueName="33" name="Column33" queryTableFieldId="33" dataDxfId="34"/>
    <tableColumn id="34" xr3:uid="{75C554D2-D385-46C8-B9E7-FE3EBB3FEC03}" uniqueName="34" name="Column34" queryTableFieldId="34" dataDxfId="33"/>
    <tableColumn id="35" xr3:uid="{98AD2116-CA34-47F7-ACC2-CA98BFFA4124}" uniqueName="35" name="Column35" queryTableFieldId="35" dataDxfId="32"/>
    <tableColumn id="36" xr3:uid="{3031A3B5-B9BF-4B32-A6C9-3DBD638C0B2C}" uniqueName="36" name="Column36" queryTableFieldId="36" dataDxfId="31"/>
    <tableColumn id="37" xr3:uid="{FFAEDD46-F27D-49DE-B96E-BD45D485921C}" uniqueName="37" name="Column37" queryTableFieldId="37" dataDxfId="30"/>
    <tableColumn id="38" xr3:uid="{6C905D9F-CA17-4482-B98F-9C7A37D84D65}" uniqueName="38" name="Column38" queryTableFieldId="38" dataDxfId="29"/>
    <tableColumn id="39" xr3:uid="{0CBA3F0A-5917-4EF3-9B74-B6586E2EE8EA}" uniqueName="39" name="Column39" queryTableFieldId="39" dataDxfId="28"/>
    <tableColumn id="40" xr3:uid="{2455DE4A-4615-465C-8C6E-B1E628EF0705}" uniqueName="40" name="Column40" queryTableFieldId="40" dataDxfId="27"/>
    <tableColumn id="41" xr3:uid="{ED4BBB25-6535-4CD7-B30F-7C04DD37ECAB}" uniqueName="41" name="Column41" queryTableFieldId="41" dataDxfId="26"/>
    <tableColumn id="42" xr3:uid="{30523055-7092-42B5-A6C1-BC43533D0B3A}" uniqueName="42" name="Column42" queryTableFieldId="42" dataDxfId="25"/>
    <tableColumn id="43" xr3:uid="{8D5A7A4E-D54D-43B4-AE89-7AAE2E80B8D7}" uniqueName="43" name="Column43" queryTableFieldId="43" dataDxfId="24"/>
    <tableColumn id="44" xr3:uid="{DB4D66D7-007E-4200-A56E-D3D0B4BA8711}" uniqueName="44" name="Column44" queryTableFieldId="44" dataDxfId="23"/>
    <tableColumn id="45" xr3:uid="{E7CB32D0-8ABF-48DF-9CE4-32AC6A28CDA2}" uniqueName="45" name="Column45" queryTableFieldId="45" dataDxfId="22"/>
    <tableColumn id="46" xr3:uid="{F609DE09-2D3F-42C7-A5F0-A84D43453F84}" uniqueName="46" name="Column46" queryTableFieldId="46" dataDxfId="21"/>
    <tableColumn id="47" xr3:uid="{7E52C298-E338-4EB8-886E-3730F2D65A03}" uniqueName="47" name="Column47" queryTableFieldId="47" dataDxfId="20"/>
    <tableColumn id="48" xr3:uid="{29F239F5-F008-4210-917A-AC4C704436D2}" uniqueName="48" name="Column48" queryTableFieldId="48" dataDxfId="19"/>
    <tableColumn id="49" xr3:uid="{DFA34AD9-D689-438F-B550-5239CDA34E43}" uniqueName="49" name="Column49" queryTableFieldId="49" dataDxfId="18"/>
    <tableColumn id="50" xr3:uid="{CF99A6C3-7B1A-4B09-A6A8-FB0FF1590B84}" uniqueName="50" name="Column50" queryTableFieldId="50" dataDxfId="17"/>
    <tableColumn id="51" xr3:uid="{0B3A7431-B96D-4815-AE36-01DE33AD6F73}" uniqueName="51" name="Column51" queryTableFieldId="51" dataDxfId="16"/>
    <tableColumn id="52" xr3:uid="{E56B3725-DB88-4E54-9D30-CAA4F427CF5A}" uniqueName="52" name="Column52" queryTableFieldId="52" dataDxfId="15"/>
    <tableColumn id="53" xr3:uid="{95E4B434-280F-4503-9C2D-1B36D787DDEC}" uniqueName="53" name="Column53" queryTableFieldId="53" dataDxfId="14"/>
    <tableColumn id="54" xr3:uid="{4082EDC3-1EA1-4945-B269-7D5FCF2560A1}" uniqueName="54" name="Column54" queryTableFieldId="54" dataDxfId="13"/>
    <tableColumn id="55" xr3:uid="{12EE9F94-7FB7-494D-850D-BAB3DC32780A}" uniqueName="55" name="Column55" queryTableFieldId="55" dataDxfId="12"/>
    <tableColumn id="56" xr3:uid="{CB6B6C6C-6927-4E5F-8D7C-42E47A73866A}" uniqueName="56" name="Column56" queryTableFieldId="56" dataDxfId="11"/>
    <tableColumn id="57" xr3:uid="{7D57F52F-E427-48D5-A469-EB139C6D185D}" uniqueName="57" name="Column57" queryTableFieldId="57" dataDxfId="10"/>
    <tableColumn id="58" xr3:uid="{FB6DF49B-A71C-4347-99C6-2800F22BFD8C}" uniqueName="58" name="Column58" queryTableFieldId="58" dataDxfId="9"/>
    <tableColumn id="59" xr3:uid="{C44CE6A5-9BD3-4E73-AF37-0D3F507ACE1D}" uniqueName="59" name="Column59" queryTableFieldId="59" dataDxfId="8"/>
    <tableColumn id="60" xr3:uid="{936C0631-A5AE-41A0-B67F-6ECF81F6B1D8}" uniqueName="60" name="Column60" queryTableFieldId="60" dataDxfId="7"/>
    <tableColumn id="61" xr3:uid="{D5F0BDBD-C7F6-4D67-9A83-52B15122F763}" uniqueName="61" name="Column61" queryTableFieldId="61" dataDxfId="6"/>
    <tableColumn id="62" xr3:uid="{298EFBE7-277E-4B68-9CB8-48DAEEF7AC70}" uniqueName="62" name="Column62" queryTableFieldId="62" dataDxfId="5"/>
    <tableColumn id="63" xr3:uid="{A2E04F22-986F-427C-BD49-8C5E741A7060}" uniqueName="63" name="Column63" queryTableFieldId="63" dataDxfId="4"/>
    <tableColumn id="64" xr3:uid="{6490142D-DFC3-48D2-9C63-7AAAB5BA2E33}" uniqueName="64" name="Column64" queryTableFieldId="64" dataDxfId="3"/>
    <tableColumn id="65" xr3:uid="{3BB10A42-298D-48B7-9A52-AF5C85D62553}" uniqueName="65" name="Column65" queryTableFieldId="65" dataDxfId="2"/>
    <tableColumn id="66" xr3:uid="{DB163AA0-D12E-4001-B641-1BFA95A8A200}" uniqueName="66" name="Column66" queryTableFieldId="66" dataDxfId="1"/>
    <tableColumn id="67" xr3:uid="{148754E4-AC36-4C98-BD36-A6FAFD6AD592}" uniqueName="67" name="Column67" queryTableFieldId="6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45D-0DF9-4D15-822D-AB122AE601A6}">
  <dimension ref="A1:Z57"/>
  <sheetViews>
    <sheetView tabSelected="1" workbookViewId="0">
      <selection activeCell="D12" sqref="D12"/>
    </sheetView>
  </sheetViews>
  <sheetFormatPr defaultRowHeight="14.4" x14ac:dyDescent="0.3"/>
  <cols>
    <col min="1" max="1" width="21" bestFit="1" customWidth="1"/>
    <col min="2" max="2" width="11.44140625" bestFit="1" customWidth="1"/>
    <col min="3" max="3" width="10.6640625" bestFit="1" customWidth="1"/>
    <col min="4" max="4" width="44.21875" bestFit="1" customWidth="1"/>
    <col min="5" max="6" width="17.88671875" bestFit="1" customWidth="1"/>
    <col min="7" max="7" width="71.6640625" bestFit="1" customWidth="1"/>
    <col min="8" max="8" width="11" bestFit="1" customWidth="1"/>
    <col min="9" max="9" width="10.6640625" bestFit="1" customWidth="1"/>
    <col min="10" max="10" width="11.6640625" bestFit="1" customWidth="1"/>
    <col min="11" max="11" width="15.77734375" bestFit="1" customWidth="1"/>
    <col min="12" max="12" width="17.5546875" bestFit="1" customWidth="1"/>
    <col min="13" max="13" width="12.5546875" bestFit="1" customWidth="1"/>
    <col min="14" max="14" width="16.77734375" bestFit="1" customWidth="1"/>
    <col min="15" max="16" width="11.6640625" bestFit="1" customWidth="1"/>
    <col min="17" max="17" width="11" bestFit="1" customWidth="1"/>
    <col min="18" max="18" width="13" bestFit="1" customWidth="1"/>
    <col min="19" max="19" width="21.109375" bestFit="1" customWidth="1"/>
    <col min="20" max="20" width="13.5546875" bestFit="1" customWidth="1"/>
    <col min="21" max="21" width="19" bestFit="1" customWidth="1"/>
    <col min="22" max="22" width="44.88671875" bestFit="1" customWidth="1"/>
    <col min="23" max="23" width="14.88671875" bestFit="1" customWidth="1"/>
    <col min="24" max="24" width="80.88671875" bestFit="1" customWidth="1"/>
    <col min="25" max="25" width="18.88671875" bestFit="1" customWidth="1"/>
    <col min="26" max="28" width="25.33203125" bestFit="1" customWidth="1"/>
  </cols>
  <sheetData>
    <row r="1" spans="1:26" x14ac:dyDescent="0.3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  <row r="2" spans="1:2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1493</v>
      </c>
      <c r="I2" t="s">
        <v>1494</v>
      </c>
      <c r="J2" t="s">
        <v>1495</v>
      </c>
      <c r="K2" t="s">
        <v>7</v>
      </c>
      <c r="L2" t="s">
        <v>1502</v>
      </c>
      <c r="M2" t="s">
        <v>8</v>
      </c>
      <c r="N2" t="s">
        <v>9</v>
      </c>
      <c r="O2" t="s">
        <v>1496</v>
      </c>
      <c r="Q2" t="e">
        <f>VLOOKUP(pub?gid_1064752002_single_true_output_csv[[#This Row],[Column3]],UTDNOVEMBRO!B:AQ,42,FALSE)</f>
        <v>#N/A</v>
      </c>
      <c r="R2" t="e">
        <f>VLOOKUP(pub?gid_1064752002_single_true_output_csv[[#This Row],[Column3]],UTDNOVEMBRO!B:AU,43,FALSE)</f>
        <v>#N/A</v>
      </c>
      <c r="S2" t="e">
        <f>VLOOKUP(pub?gid_1064752002_single_true_output_csv[[#This Row],[Column3]],UTDNOVEMBRO!B:AC,28,FALSE)</f>
        <v>#N/A</v>
      </c>
      <c r="T2" t="e">
        <f>VLOOKUP(pub?gid_1064752002_single_true_output_csv[[#This Row],[Column3]],UTDNOVEMBRO!B:C,2,FALSE)</f>
        <v>#N/A</v>
      </c>
      <c r="U2" t="e">
        <f>VLOOKUP(pub?gid_1064752002_single_true_output_csv[[#This Row],[Column3]],UTDNOVEMBRO!B:D,3,FALSE)</f>
        <v>#N/A</v>
      </c>
      <c r="V2" t="e">
        <f>VLOOKUP(pub?gid_1064752002_single_true_output_csv[[#This Row],[Column3]],UTDNOVEMBRO!B:K,10,FALSE)</f>
        <v>#N/A</v>
      </c>
      <c r="W2" t="e">
        <f>VLOOKUP(pub?gid_1064752002_single_true_output_csv[[#This Row],[Column3]],UTDNOVEMBRO!B:N,13,FALSE)</f>
        <v>#N/A</v>
      </c>
      <c r="X2" t="e">
        <f>VLOOKUP(pub?gid_1064752002_single_true_output_csv[[#This Row],[Column3]],UTDNOVEMBRO!B:O,14,FALSE)</f>
        <v>#N/A</v>
      </c>
      <c r="Y2" t="e">
        <f>VLOOKUP(pub?gid_1064752002_single_true_output_csv[[#This Row],[Column3]],UTDNOVEMBRO!B:P,15,FALSE)</f>
        <v>#N/A</v>
      </c>
      <c r="Z2" t="e">
        <f>VLOOKUP(pub?gid_1064752002_single_true_output_csv[[#This Row],[Column3]],UTDNOVEMBRO!B:Q,15,FALSE)</f>
        <v>#N/A</v>
      </c>
    </row>
    <row r="3" spans="1:26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1507</v>
      </c>
      <c r="H3" t="s">
        <v>26</v>
      </c>
      <c r="I3" t="s">
        <v>27</v>
      </c>
      <c r="J3" t="s">
        <v>28</v>
      </c>
      <c r="K3" t="s">
        <v>29</v>
      </c>
      <c r="L3" t="s">
        <v>1465</v>
      </c>
      <c r="M3" t="s">
        <v>38</v>
      </c>
      <c r="N3" t="s">
        <v>1465</v>
      </c>
      <c r="O3" t="s">
        <v>1537</v>
      </c>
      <c r="P3">
        <v>47</v>
      </c>
      <c r="Q3" t="str">
        <f>VLOOKUP(pub?gid_1064752002_single_true_output_csv[[#This Row],[Column3]],UTDNOVEMBRO!B:AQ,42,FALSE)</f>
        <v>-11.346185</v>
      </c>
      <c r="R3" t="str">
        <f>VLOOKUP(pub?gid_1064752002_single_true_output_csv[[#This Row],[Column3]],UTDNOVEMBRO!B:AU,43,FALSE)</f>
        <v>-41.639873</v>
      </c>
      <c r="S3" t="str">
        <f>VLOOKUP(pub?gid_1064752002_single_true_output_csv[[#This Row],[Column3]],UTDNOVEMBRO!B:AC,28,FALSE)</f>
        <v>0</v>
      </c>
      <c r="T3" t="str">
        <f>VLOOKUP(pub?gid_1064752002_single_true_output_csv[[#This Row],[Column3]],UTDNOVEMBRO!B:C,2,FALSE)</f>
        <v/>
      </c>
      <c r="U3" t="str">
        <f>VLOOKUP(pub?gid_1064752002_single_true_output_csv[[#This Row],[Column3]],UTDNOVEMBRO!B:D,3,FALSE)</f>
        <v/>
      </c>
      <c r="V3" t="str">
        <f>VLOOKUP(pub?gid_1064752002_single_true_output_csv[[#This Row],[Column3]],UTDNOVEMBRO!B:K,10,FALSE)</f>
        <v>PEDRO ANDERSON NERI DE SOUZA - U465037</v>
      </c>
      <c r="W3" t="str">
        <f>VLOOKUP(pub?gid_1064752002_single_true_output_csv[[#This Row],[Column3]],UTDNOVEMBRO!B:N,13,FALSE)</f>
        <v>28/10/25</v>
      </c>
      <c r="X3" t="str">
        <f>VLOOKUP(pub?gid_1064752002_single_true_output_csv[[#This Row],[Column3]],UTDNOVEMBRO!B:O,14,FALSE)</f>
        <v>ALTERAR DERIVAÇÃO.  EXTENDER A REDE BT PELOS POSTES DA SEQUENCIA B678842, B678843</v>
      </c>
      <c r="Y3" t="str">
        <f>VLOOKUP(pub?gid_1064752002_single_true_output_csv[[#This Row],[Column3]],UTDNOVEMBRO!B:P,15,FALSE)</f>
        <v>29/10/25</v>
      </c>
      <c r="Z3" t="str">
        <f>VLOOKUP(pub?gid_1064752002_single_true_output_csv[[#This Row],[Column3]],UTDNOVEMBRO!B:Q,15,FALSE)</f>
        <v>29/10/25</v>
      </c>
    </row>
    <row r="4" spans="1:26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27</v>
      </c>
      <c r="J4" t="s">
        <v>27</v>
      </c>
      <c r="K4" t="s">
        <v>36</v>
      </c>
      <c r="L4" t="s">
        <v>1465</v>
      </c>
      <c r="M4" t="s">
        <v>38</v>
      </c>
      <c r="N4" t="s">
        <v>39</v>
      </c>
      <c r="O4" t="s">
        <v>37</v>
      </c>
      <c r="P4">
        <v>1</v>
      </c>
      <c r="Q4" t="str">
        <f>VLOOKUP(pub?gid_1064752002_single_true_output_csv[[#This Row],[Column3]],UTDNOVEMBRO!B:AQ,42,FALSE)</f>
        <v>-11,788833</v>
      </c>
      <c r="R4" t="str">
        <f>VLOOKUP(pub?gid_1064752002_single_true_output_csv[[#This Row],[Column3]],UTDNOVEMBRO!B:AU,43,FALSE)</f>
        <v>-41,768644</v>
      </c>
      <c r="S4" t="str">
        <f>VLOOKUP(pub?gid_1064752002_single_true_output_csv[[#This Row],[Column3]],UTDNOVEMBRO!B:AC,28,FALSE)</f>
        <v>0</v>
      </c>
      <c r="T4" t="str">
        <f>VLOOKUP(pub?gid_1064752002_single_true_output_csv[[#This Row],[Column3]],UTDNOVEMBRO!B:C,2,FALSE)</f>
        <v>N/A</v>
      </c>
      <c r="U4" t="str">
        <f>VLOOKUP(pub?gid_1064752002_single_true_output_csv[[#This Row],[Column3]],UTDNOVEMBRO!B:D,3,FALSE)</f>
        <v>N/A</v>
      </c>
      <c r="V4" t="str">
        <f>VLOOKUP(pub?gid_1064752002_single_true_output_csv[[#This Row],[Column3]],UTDNOVEMBRO!B:K,10,FALSE)</f>
        <v>MANOEL MESSIAS ALENCAR - U359765</v>
      </c>
      <c r="W4" t="str">
        <f>VLOOKUP(pub?gid_1064752002_single_true_output_csv[[#This Row],[Column3]],UTDNOVEMBRO!B:N,13,FALSE)</f>
        <v>07/10/25</v>
      </c>
      <c r="X4" t="str">
        <f>VLOOKUP(pub?gid_1064752002_single_true_output_csv[[#This Row],[Column3]],UTDNOVEMBRO!B:O,14,FALSE)</f>
        <v xml:space="preserve">NTERCALAR POSTE 11/600 COM TRANSFORMADOR ENTRE OS POSTES </v>
      </c>
      <c r="Y4" t="str">
        <f>VLOOKUP(pub?gid_1064752002_single_true_output_csv[[#This Row],[Column3]],UTDNOVEMBRO!B:P,15,FALSE)</f>
        <v>07/10/25</v>
      </c>
      <c r="Z4" t="str">
        <f>VLOOKUP(pub?gid_1064752002_single_true_output_csv[[#This Row],[Column3]],UTDNOVEMBRO!B:Q,15,FALSE)</f>
        <v>07/10/25</v>
      </c>
    </row>
    <row r="5" spans="1:26" x14ac:dyDescent="0.3">
      <c r="A5" t="s">
        <v>40</v>
      </c>
      <c r="B5" t="s">
        <v>31</v>
      </c>
      <c r="C5" t="s">
        <v>41</v>
      </c>
      <c r="D5" t="s">
        <v>42</v>
      </c>
      <c r="E5" t="s">
        <v>43</v>
      </c>
      <c r="F5" t="s">
        <v>35</v>
      </c>
      <c r="G5" t="s">
        <v>36</v>
      </c>
      <c r="H5" t="s">
        <v>44</v>
      </c>
      <c r="I5" t="s">
        <v>27</v>
      </c>
      <c r="J5" t="s">
        <v>45</v>
      </c>
      <c r="K5" t="s">
        <v>36</v>
      </c>
      <c r="L5" t="s">
        <v>1465</v>
      </c>
      <c r="M5" t="s">
        <v>75</v>
      </c>
      <c r="N5" t="s">
        <v>39</v>
      </c>
      <c r="O5" t="s">
        <v>44</v>
      </c>
      <c r="P5">
        <v>10</v>
      </c>
      <c r="Q5" t="str">
        <f>VLOOKUP(pub?gid_1064752002_single_true_output_csv[[#This Row],[Column3]],UTDNOVEMBRO!B:AQ,42,FALSE)</f>
        <v>-11,874596</v>
      </c>
      <c r="R5" t="str">
        <f>VLOOKUP(pub?gid_1064752002_single_true_output_csv[[#This Row],[Column3]],UTDNOVEMBRO!B:AU,43,FALSE)</f>
        <v>-41,850519</v>
      </c>
      <c r="S5" t="str">
        <f>VLOOKUP(pub?gid_1064752002_single_true_output_csv[[#This Row],[Column3]],UTDNOVEMBRO!B:AC,28,FALSE)</f>
        <v>1</v>
      </c>
      <c r="T5" t="str">
        <f>VLOOKUP(pub?gid_1064752002_single_true_output_csv[[#This Row],[Column3]],UTDNOVEMBRO!B:C,2,FALSE)</f>
        <v>N/A</v>
      </c>
      <c r="U5" t="str">
        <f>VLOOKUP(pub?gid_1064752002_single_true_output_csv[[#This Row],[Column3]],UTDNOVEMBRO!B:D,3,FALSE)</f>
        <v>N/A</v>
      </c>
      <c r="V5" t="str">
        <f>VLOOKUP(pub?gid_1064752002_single_true_output_csv[[#This Row],[Column3]],UTDNOVEMBRO!B:K,10,FALSE)</f>
        <v>ALINE LIMA SILVA - U468383</v>
      </c>
      <c r="W5" t="str">
        <f>VLOOKUP(pub?gid_1064752002_single_true_output_csv[[#This Row],[Column3]],UTDNOVEMBRO!B:N,13,FALSE)</f>
        <v>13/10/25</v>
      </c>
      <c r="X5" t="str">
        <f>VLOOKUP(pub?gid_1064752002_single_true_output_csv[[#This Row],[Column3]],UTDNOVEMBRO!B:O,14,FALSE)</f>
        <v xml:space="preserve">OBRA APITA OARA CONSTRUÇÃO CONFORME PROJETO </v>
      </c>
      <c r="Y5" t="str">
        <f>VLOOKUP(pub?gid_1064752002_single_true_output_csv[[#This Row],[Column3]],UTDNOVEMBRO!B:P,15,FALSE)</f>
        <v>14/10/25</v>
      </c>
      <c r="Z5" t="str">
        <f>VLOOKUP(pub?gid_1064752002_single_true_output_csv[[#This Row],[Column3]],UTDNOVEMBRO!B:Q,15,FALSE)</f>
        <v>14/10/25</v>
      </c>
    </row>
    <row r="6" spans="1:26" x14ac:dyDescent="0.3">
      <c r="A6" t="s">
        <v>30</v>
      </c>
      <c r="B6" t="s">
        <v>31</v>
      </c>
      <c r="C6" t="s">
        <v>47</v>
      </c>
      <c r="D6" t="s">
        <v>48</v>
      </c>
      <c r="E6" t="s">
        <v>49</v>
      </c>
      <c r="F6" t="s">
        <v>50</v>
      </c>
      <c r="G6" t="s">
        <v>36</v>
      </c>
      <c r="H6" t="s">
        <v>51</v>
      </c>
      <c r="I6" t="s">
        <v>52</v>
      </c>
      <c r="J6" t="s">
        <v>53</v>
      </c>
      <c r="K6" t="s">
        <v>36</v>
      </c>
      <c r="L6" t="s">
        <v>1465</v>
      </c>
      <c r="M6" t="s">
        <v>1465</v>
      </c>
      <c r="N6" t="s">
        <v>1465</v>
      </c>
      <c r="O6" t="s">
        <v>196</v>
      </c>
      <c r="P6">
        <v>8</v>
      </c>
      <c r="Q6" t="str">
        <f>VLOOKUP(pub?gid_1064752002_single_true_output_csv[[#This Row],[Column3]],UTDNOVEMBRO!B:AQ,42,FALSE)</f>
        <v>-11.662674</v>
      </c>
      <c r="R6" t="str">
        <f>VLOOKUP(pub?gid_1064752002_single_true_output_csv[[#This Row],[Column3]],UTDNOVEMBRO!B:AU,43,FALSE)</f>
        <v>-42.010983</v>
      </c>
      <c r="S6" t="str">
        <f>VLOOKUP(pub?gid_1064752002_single_true_output_csv[[#This Row],[Column3]],UTDNOVEMBRO!B:AC,28,FALSE)</f>
        <v>5</v>
      </c>
      <c r="T6" t="str">
        <f>VLOOKUP(pub?gid_1064752002_single_true_output_csv[[#This Row],[Column3]],UTDNOVEMBRO!B:C,2,FALSE)</f>
        <v>B-1235747</v>
      </c>
      <c r="U6" t="str">
        <f>VLOOKUP(pub?gid_1064752002_single_true_output_csv[[#This Row],[Column3]],UTDNOVEMBRO!B:D,3,FALSE)</f>
        <v>B-1235754</v>
      </c>
      <c r="V6" t="str">
        <f>VLOOKUP(pub?gid_1064752002_single_true_output_csv[[#This Row],[Column3]],UTDNOVEMBRO!B:K,10,FALSE)</f>
        <v>ALINE LIMA SILVA - U468383</v>
      </c>
      <c r="W6" t="str">
        <f>VLOOKUP(pub?gid_1064752002_single_true_output_csv[[#This Row],[Column3]],UTDNOVEMBRO!B:N,13,FALSE)</f>
        <v>28/10/25</v>
      </c>
      <c r="X6" t="str">
        <f>VLOOKUP(pub?gid_1064752002_single_true_output_csv[[#This Row],[Column3]],UTDNOVEMBRO!B:O,14,FALSE)</f>
        <v>OBRA APITA PARA CONSTRUÇÃO DE ACORDO PROJETO</v>
      </c>
      <c r="Y6" t="str">
        <f>VLOOKUP(pub?gid_1064752002_single_true_output_csv[[#This Row],[Column3]],UTDNOVEMBRO!B:P,15,FALSE)</f>
        <v>29/10/25</v>
      </c>
      <c r="Z6" t="str">
        <f>VLOOKUP(pub?gid_1064752002_single_true_output_csv[[#This Row],[Column3]],UTDNOVEMBRO!B:Q,15,FALSE)</f>
        <v>29/10/25</v>
      </c>
    </row>
    <row r="7" spans="1:26" x14ac:dyDescent="0.3">
      <c r="A7" t="s">
        <v>55</v>
      </c>
      <c r="B7" t="s">
        <v>21</v>
      </c>
      <c r="C7" t="s">
        <v>56</v>
      </c>
      <c r="D7" t="s">
        <v>57</v>
      </c>
      <c r="E7" t="s">
        <v>58</v>
      </c>
      <c r="F7" t="s">
        <v>59</v>
      </c>
      <c r="G7" t="s">
        <v>36</v>
      </c>
      <c r="H7" t="s">
        <v>54</v>
      </c>
      <c r="I7" t="s">
        <v>27</v>
      </c>
      <c r="J7" t="s">
        <v>60</v>
      </c>
      <c r="K7" t="s">
        <v>36</v>
      </c>
      <c r="L7" t="s">
        <v>1465</v>
      </c>
      <c r="M7" t="s">
        <v>38</v>
      </c>
      <c r="N7" t="s">
        <v>39</v>
      </c>
      <c r="O7" t="s">
        <v>76</v>
      </c>
      <c r="P7">
        <v>4</v>
      </c>
      <c r="Q7" t="str">
        <f>VLOOKUP(pub?gid_1064752002_single_true_output_csv[[#This Row],[Column3]],UTDNOVEMBRO!B:AQ,42,FALSE)</f>
        <v>-11,440433</v>
      </c>
      <c r="R7" t="str">
        <f>VLOOKUP(pub?gid_1064752002_single_true_output_csv[[#This Row],[Column3]],UTDNOVEMBRO!B:AU,43,FALSE)</f>
        <v>-41,601552</v>
      </c>
      <c r="S7" t="str">
        <f>VLOOKUP(pub?gid_1064752002_single_true_output_csv[[#This Row],[Column3]],UTDNOVEMBRO!B:AC,28,FALSE)</f>
        <v>3</v>
      </c>
      <c r="T7" t="str">
        <f>VLOOKUP(pub?gid_1064752002_single_true_output_csv[[#This Row],[Column3]],UTDNOVEMBRO!B:C,2,FALSE)</f>
        <v>B-1231514</v>
      </c>
      <c r="U7" t="str">
        <f>VLOOKUP(pub?gid_1064752002_single_true_output_csv[[#This Row],[Column3]],UTDNOVEMBRO!B:D,3,FALSE)</f>
        <v>B-1231533</v>
      </c>
      <c r="V7" t="str">
        <f>VLOOKUP(pub?gid_1064752002_single_true_output_csv[[#This Row],[Column3]],UTDNOVEMBRO!B:K,10,FALSE)</f>
        <v>JOSE ANTONIO SIMAS NETO - U349485</v>
      </c>
      <c r="W7" t="str">
        <f>VLOOKUP(pub?gid_1064752002_single_true_output_csv[[#This Row],[Column3]],UTDNOVEMBRO!B:N,13,FALSE)</f>
        <v>09/10/25</v>
      </c>
      <c r="X7" t="str">
        <f>VLOOKUP(pub?gid_1064752002_single_true_output_csv[[#This Row],[Column3]],UTDNOVEMBRO!B:O,14,FALSE)</f>
        <v>EXISTE UMA OBRA JA EXECUTADA, POREM, NAO TEM TRAFO PARA ATENDER OS CLIENTES. VERIFICAR POSSIBILIDADE DE ATENDER CONFORME OS PONTOS.</v>
      </c>
      <c r="Y7" t="str">
        <f>VLOOKUP(pub?gid_1064752002_single_true_output_csv[[#This Row],[Column3]],UTDNOVEMBRO!B:P,15,FALSE)</f>
        <v>13/10/25</v>
      </c>
      <c r="Z7" t="str">
        <f>VLOOKUP(pub?gid_1064752002_single_true_output_csv[[#This Row],[Column3]],UTDNOVEMBRO!B:Q,15,FALSE)</f>
        <v>13/10/25</v>
      </c>
    </row>
    <row r="8" spans="1:26" x14ac:dyDescent="0.3">
      <c r="A8" t="s">
        <v>61</v>
      </c>
      <c r="B8" t="s">
        <v>31</v>
      </c>
      <c r="C8" t="s">
        <v>62</v>
      </c>
      <c r="D8" t="s">
        <v>63</v>
      </c>
      <c r="E8" t="s">
        <v>64</v>
      </c>
      <c r="F8" t="s">
        <v>35</v>
      </c>
      <c r="G8" t="s">
        <v>36</v>
      </c>
      <c r="H8" t="s">
        <v>65</v>
      </c>
      <c r="I8" t="s">
        <v>27</v>
      </c>
      <c r="J8" t="s">
        <v>45</v>
      </c>
      <c r="K8" t="s">
        <v>36</v>
      </c>
      <c r="L8" t="s">
        <v>1465</v>
      </c>
      <c r="M8" t="s">
        <v>81</v>
      </c>
      <c r="N8" t="s">
        <v>67</v>
      </c>
      <c r="O8" t="s">
        <v>168</v>
      </c>
      <c r="P8">
        <v>12</v>
      </c>
      <c r="Q8" t="str">
        <f>VLOOKUP(pub?gid_1064752002_single_true_output_csv[[#This Row],[Column3]],UTDNOVEMBRO!B:AQ,42,FALSE)</f>
        <v>-11,630717</v>
      </c>
      <c r="R8" t="str">
        <f>VLOOKUP(pub?gid_1064752002_single_true_output_csv[[#This Row],[Column3]],UTDNOVEMBRO!B:AU,43,FALSE)</f>
        <v>-42,612684</v>
      </c>
      <c r="S8" t="str">
        <f>VLOOKUP(pub?gid_1064752002_single_true_output_csv[[#This Row],[Column3]],UTDNOVEMBRO!B:AC,28,FALSE)</f>
        <v>1</v>
      </c>
      <c r="T8" t="str">
        <f>VLOOKUP(pub?gid_1064752002_single_true_output_csv[[#This Row],[Column3]],UTDNOVEMBRO!B:C,2,FALSE)</f>
        <v>B-1235762</v>
      </c>
      <c r="U8" t="str">
        <f>VLOOKUP(pub?gid_1064752002_single_true_output_csv[[#This Row],[Column3]],UTDNOVEMBRO!B:D,3,FALSE)</f>
        <v>B-1156352</v>
      </c>
      <c r="V8" t="str">
        <f>VLOOKUP(pub?gid_1064752002_single_true_output_csv[[#This Row],[Column3]],UTDNOVEMBRO!B:K,10,FALSE)</f>
        <v xml:space="preserve">JOSE EDUARDO GOMES DOS SANTOS LIMA - U468835 </v>
      </c>
      <c r="W8" t="str">
        <f>VLOOKUP(pub?gid_1064752002_single_true_output_csv[[#This Row],[Column3]],UTDNOVEMBRO!B:N,13,FALSE)</f>
        <v>20/10/25</v>
      </c>
      <c r="X8" t="str">
        <f>VLOOKUP(pub?gid_1064752002_single_true_output_csv[[#This Row],[Column3]],UTDNOVEMBRO!B:O,14,FALSE)</f>
        <v>OBRA APITAR PARA CONSTRUÇÃO CONFORME PROJETO.</v>
      </c>
      <c r="Y8" t="str">
        <f>VLOOKUP(pub?gid_1064752002_single_true_output_csv[[#This Row],[Column3]],UTDNOVEMBRO!B:P,15,FALSE)</f>
        <v>21/10/25</v>
      </c>
      <c r="Z8" t="str">
        <f>VLOOKUP(pub?gid_1064752002_single_true_output_csv[[#This Row],[Column3]],UTDNOVEMBRO!B:Q,15,FALSE)</f>
        <v>21/10/25</v>
      </c>
    </row>
    <row r="9" spans="1:26" x14ac:dyDescent="0.3">
      <c r="A9" t="s">
        <v>68</v>
      </c>
      <c r="B9" t="s">
        <v>21</v>
      </c>
      <c r="C9" t="s">
        <v>69</v>
      </c>
      <c r="D9" t="s">
        <v>70</v>
      </c>
      <c r="E9" t="s">
        <v>58</v>
      </c>
      <c r="F9" t="s">
        <v>35</v>
      </c>
      <c r="G9" t="s">
        <v>71</v>
      </c>
      <c r="H9" t="s">
        <v>51</v>
      </c>
      <c r="I9" t="s">
        <v>72</v>
      </c>
      <c r="J9" t="s">
        <v>73</v>
      </c>
      <c r="K9" t="s">
        <v>29</v>
      </c>
      <c r="L9" t="s">
        <v>1465</v>
      </c>
      <c r="M9" t="s">
        <v>75</v>
      </c>
      <c r="N9" t="s">
        <v>1465</v>
      </c>
      <c r="O9" t="s">
        <v>76</v>
      </c>
      <c r="P9">
        <v>3</v>
      </c>
      <c r="Q9" t="str">
        <f>VLOOKUP(pub?gid_1064752002_single_true_output_csv[[#This Row],[Column3]],UTDNOVEMBRO!B:AQ,42,FALSE)</f>
        <v>-11,324178</v>
      </c>
      <c r="R9" t="str">
        <f>VLOOKUP(pub?gid_1064752002_single_true_output_csv[[#This Row],[Column3]],UTDNOVEMBRO!B:AU,43,FALSE)</f>
        <v>-41,463986</v>
      </c>
      <c r="S9" t="str">
        <f>VLOOKUP(pub?gid_1064752002_single_true_output_csv[[#This Row],[Column3]],UTDNOVEMBRO!B:AC,28,FALSE)</f>
        <v>1</v>
      </c>
      <c r="T9" t="str">
        <f>VLOOKUP(pub?gid_1064752002_single_true_output_csv[[#This Row],[Column3]],UTDNOVEMBRO!B:C,2,FALSE)</f>
        <v/>
      </c>
      <c r="U9" t="str">
        <f>VLOOKUP(pub?gid_1064752002_single_true_output_csv[[#This Row],[Column3]],UTDNOVEMBRO!B:D,3,FALSE)</f>
        <v/>
      </c>
      <c r="V9" t="str">
        <f>VLOOKUP(pub?gid_1064752002_single_true_output_csv[[#This Row],[Column3]],UTDNOVEMBRO!B:K,10,FALSE)</f>
        <v>JOSE ANTONIO SIMAS NETO - U349485</v>
      </c>
      <c r="W9" t="str">
        <f>VLOOKUP(pub?gid_1064752002_single_true_output_csv[[#This Row],[Column3]],UTDNOVEMBRO!B:N,13,FALSE)</f>
        <v>09/10/25</v>
      </c>
      <c r="X9" t="str">
        <f>VLOOKUP(pub?gid_1064752002_single_true_output_csv[[#This Row],[Column3]],UTDNOVEMBRO!B:O,14,FALSE)</f>
        <v xml:space="preserve">EXECUTAR ADF CONFORME PROJETO. </v>
      </c>
      <c r="Y9" t="str">
        <f>VLOOKUP(pub?gid_1064752002_single_true_output_csv[[#This Row],[Column3]],UTDNOVEMBRO!B:P,15,FALSE)</f>
        <v>09/10/25</v>
      </c>
      <c r="Z9" t="str">
        <f>VLOOKUP(pub?gid_1064752002_single_true_output_csv[[#This Row],[Column3]],UTDNOVEMBRO!B:Q,15,FALSE)</f>
        <v>09/10/25</v>
      </c>
    </row>
    <row r="10" spans="1:26" x14ac:dyDescent="0.3">
      <c r="A10" t="s">
        <v>30</v>
      </c>
      <c r="B10" t="s">
        <v>31</v>
      </c>
      <c r="C10" t="s">
        <v>77</v>
      </c>
      <c r="D10" t="s">
        <v>78</v>
      </c>
      <c r="E10" t="s">
        <v>43</v>
      </c>
      <c r="F10" t="s">
        <v>35</v>
      </c>
      <c r="G10" t="s">
        <v>79</v>
      </c>
      <c r="H10" t="s">
        <v>76</v>
      </c>
      <c r="I10" t="s">
        <v>67</v>
      </c>
      <c r="J10" t="s">
        <v>72</v>
      </c>
      <c r="K10" t="s">
        <v>29</v>
      </c>
      <c r="L10" t="s">
        <v>1465</v>
      </c>
      <c r="M10" t="s">
        <v>38</v>
      </c>
      <c r="N10" t="s">
        <v>1465</v>
      </c>
      <c r="O10" t="s">
        <v>76</v>
      </c>
      <c r="P10">
        <v>0</v>
      </c>
      <c r="Q10" t="str">
        <f>VLOOKUP(pub?gid_1064752002_single_true_output_csv[[#This Row],[Column3]],UTDNOVEMBRO!B:AQ,42,FALSE)</f>
        <v>-11,808347</v>
      </c>
      <c r="R10" t="str">
        <f>VLOOKUP(pub?gid_1064752002_single_true_output_csv[[#This Row],[Column3]],UTDNOVEMBRO!B:AU,43,FALSE)</f>
        <v>-41,852638</v>
      </c>
      <c r="S10" t="str">
        <f>VLOOKUP(pub?gid_1064752002_single_true_output_csv[[#This Row],[Column3]],UTDNOVEMBRO!B:AC,28,FALSE)</f>
        <v>1</v>
      </c>
      <c r="T10" t="str">
        <f>VLOOKUP(pub?gid_1064752002_single_true_output_csv[[#This Row],[Column3]],UTDNOVEMBRO!B:C,2,FALSE)</f>
        <v>N/A</v>
      </c>
      <c r="U10" t="str">
        <f>VLOOKUP(pub?gid_1064752002_single_true_output_csv[[#This Row],[Column3]],UTDNOVEMBRO!B:D,3,FALSE)</f>
        <v>N/A</v>
      </c>
      <c r="V10" t="str">
        <f>VLOOKUP(pub?gid_1064752002_single_true_output_csv[[#This Row],[Column3]],UTDNOVEMBRO!B:K,10,FALSE)</f>
        <v>ALINE LIMA SILVA - U468383</v>
      </c>
      <c r="W10" t="str">
        <f>VLOOKUP(pub?gid_1064752002_single_true_output_csv[[#This Row],[Column3]],UTDNOVEMBRO!B:N,13,FALSE)</f>
        <v>13/10/25</v>
      </c>
      <c r="X10" t="str">
        <f>VLOOKUP(pub?gid_1064752002_single_true_output_csv[[#This Row],[Column3]],UTDNOVEMBRO!B:O,14,FALSE)</f>
        <v xml:space="preserve">OBRA APITA PARA CONSTRUÇÃO </v>
      </c>
      <c r="Y10" t="str">
        <f>VLOOKUP(pub?gid_1064752002_single_true_output_csv[[#This Row],[Column3]],UTDNOVEMBRO!B:P,15,FALSE)</f>
        <v>14/10/25</v>
      </c>
      <c r="Z10" t="str">
        <f>VLOOKUP(pub?gid_1064752002_single_true_output_csv[[#This Row],[Column3]],UTDNOVEMBRO!B:Q,15,FALSE)</f>
        <v>14/10/25</v>
      </c>
    </row>
    <row r="11" spans="1:26" x14ac:dyDescent="0.3">
      <c r="A11" t="s">
        <v>82</v>
      </c>
      <c r="B11" t="s">
        <v>21</v>
      </c>
      <c r="C11" t="s">
        <v>83</v>
      </c>
      <c r="D11" t="s">
        <v>84</v>
      </c>
      <c r="E11" t="s">
        <v>85</v>
      </c>
      <c r="F11" t="s">
        <v>35</v>
      </c>
      <c r="G11" t="s">
        <v>86</v>
      </c>
      <c r="H11" t="s">
        <v>87</v>
      </c>
      <c r="I11" t="s">
        <v>27</v>
      </c>
      <c r="J11" t="s">
        <v>67</v>
      </c>
      <c r="K11" t="s">
        <v>1513</v>
      </c>
      <c r="L11" t="s">
        <v>1465</v>
      </c>
      <c r="M11" t="s">
        <v>38</v>
      </c>
      <c r="N11" t="s">
        <v>1465</v>
      </c>
      <c r="O11" t="s">
        <v>168</v>
      </c>
      <c r="P11">
        <v>21</v>
      </c>
      <c r="Q11" t="str">
        <f>VLOOKUP(pub?gid_1064752002_single_true_output_csv[[#This Row],[Column3]],UTDNOVEMBRO!B:AQ,42,FALSE)</f>
        <v>-11,243142</v>
      </c>
      <c r="R11" t="str">
        <f>VLOOKUP(pub?gid_1064752002_single_true_output_csv[[#This Row],[Column3]],UTDNOVEMBRO!B:AU,43,FALSE)</f>
        <v>-41,548018</v>
      </c>
      <c r="S11" t="str">
        <f>VLOOKUP(pub?gid_1064752002_single_true_output_csv[[#This Row],[Column3]],UTDNOVEMBRO!B:AC,28,FALSE)</f>
        <v>2</v>
      </c>
      <c r="T11" t="str">
        <f>VLOOKUP(pub?gid_1064752002_single_true_output_csv[[#This Row],[Column3]],UTDNOVEMBRO!B:C,2,FALSE)</f>
        <v/>
      </c>
      <c r="U11" t="str">
        <f>VLOOKUP(pub?gid_1064752002_single_true_output_csv[[#This Row],[Column3]],UTDNOVEMBRO!B:D,3,FALSE)</f>
        <v/>
      </c>
      <c r="V11" t="str">
        <f>VLOOKUP(pub?gid_1064752002_single_true_output_csv[[#This Row],[Column3]],UTDNOVEMBRO!B:K,10,FALSE)</f>
        <v>PEDRO ANDERSON NERI DE SOUZA - U465037</v>
      </c>
      <c r="W11" t="str">
        <f>VLOOKUP(pub?gid_1064752002_single_true_output_csv[[#This Row],[Column3]],UTDNOVEMBRO!B:N,13,FALSE)</f>
        <v>22/10/25</v>
      </c>
      <c r="X11" t="str">
        <f>VLOOKUP(pub?gid_1064752002_single_true_output_csv[[#This Row],[Column3]],UTDNOVEMBRO!B:O,14,FALSE)</f>
        <v xml:space="preserve">OBRA APITAR PARA CONSTRUÇÃO. ADF JÁ  FOI CONATRUIDA. DE N3-3 PARA  N4-3  LV
</v>
      </c>
      <c r="Y11" t="str">
        <f>VLOOKUP(pub?gid_1064752002_single_true_output_csv[[#This Row],[Column3]],UTDNOVEMBRO!B:P,15,FALSE)</f>
        <v>23/10/25</v>
      </c>
      <c r="Z11" t="str">
        <f>VLOOKUP(pub?gid_1064752002_single_true_output_csv[[#This Row],[Column3]],UTDNOVEMBRO!B:Q,15,FALSE)</f>
        <v>23/10/25</v>
      </c>
    </row>
    <row r="12" spans="1:26" x14ac:dyDescent="0.3">
      <c r="A12" t="s">
        <v>40</v>
      </c>
      <c r="B12" t="s">
        <v>31</v>
      </c>
      <c r="C12" t="s">
        <v>89</v>
      </c>
      <c r="D12" t="s">
        <v>90</v>
      </c>
      <c r="E12" t="s">
        <v>43</v>
      </c>
      <c r="F12" t="s">
        <v>35</v>
      </c>
      <c r="G12" t="s">
        <v>1508</v>
      </c>
      <c r="H12" t="s">
        <v>51</v>
      </c>
      <c r="I12" t="s">
        <v>91</v>
      </c>
      <c r="J12" t="s">
        <v>92</v>
      </c>
      <c r="K12" t="s">
        <v>74</v>
      </c>
      <c r="L12" t="s">
        <v>1465</v>
      </c>
      <c r="M12" t="s">
        <v>81</v>
      </c>
      <c r="N12" t="s">
        <v>1465</v>
      </c>
      <c r="O12" t="s">
        <v>51</v>
      </c>
      <c r="P12">
        <v>2</v>
      </c>
      <c r="Q12" t="str">
        <f>VLOOKUP(pub?gid_1064752002_single_true_output_csv[[#This Row],[Column3]],UTDNOVEMBRO!B:AQ,42,FALSE)</f>
        <v>-11,870811</v>
      </c>
      <c r="R12" t="str">
        <f>VLOOKUP(pub?gid_1064752002_single_true_output_csv[[#This Row],[Column3]],UTDNOVEMBRO!B:AU,43,FALSE)</f>
        <v>-41,830110</v>
      </c>
      <c r="S12" t="str">
        <f>VLOOKUP(pub?gid_1064752002_single_true_output_csv[[#This Row],[Column3]],UTDNOVEMBRO!B:AC,28,FALSE)</f>
        <v>1</v>
      </c>
      <c r="T12" t="str">
        <f>VLOOKUP(pub?gid_1064752002_single_true_output_csv[[#This Row],[Column3]],UTDNOVEMBRO!B:C,2,FALSE)</f>
        <v>N/A</v>
      </c>
      <c r="U12" t="str">
        <f>VLOOKUP(pub?gid_1064752002_single_true_output_csv[[#This Row],[Column3]],UTDNOVEMBRO!B:D,3,FALSE)</f>
        <v>N/A</v>
      </c>
      <c r="V12" t="str">
        <f>VLOOKUP(pub?gid_1064752002_single_true_output_csv[[#This Row],[Column3]],UTDNOVEMBRO!B:K,10,FALSE)</f>
        <v>ALINE LIMA SILVA - U468383</v>
      </c>
      <c r="W12" t="str">
        <f>VLOOKUP(pub?gid_1064752002_single_true_output_csv[[#This Row],[Column3]],UTDNOVEMBRO!B:N,13,FALSE)</f>
        <v>09/10/25</v>
      </c>
      <c r="X12" t="str">
        <f>VLOOKUP(pub?gid_1064752002_single_true_output_csv[[#This Row],[Column3]],UTDNOVEMBRO!B:O,14,FALSE)</f>
        <v>OBRAS APITA PARA CONSTRUÇÃO, B-1207659, B-1225231 UMA DEPENDE DA OUTRA NO QUE SE DIZ RESPEITO A ADF. SÃO A MESMA DERIVAÇÃO</v>
      </c>
      <c r="Y12" t="str">
        <f>VLOOKUP(pub?gid_1064752002_single_true_output_csv[[#This Row],[Column3]],UTDNOVEMBRO!B:P,15,FALSE)</f>
        <v>16/10/25</v>
      </c>
      <c r="Z12" t="str">
        <f>VLOOKUP(pub?gid_1064752002_single_true_output_csv[[#This Row],[Column3]],UTDNOVEMBRO!B:Q,15,FALSE)</f>
        <v>16/10/25</v>
      </c>
    </row>
    <row r="13" spans="1:26" x14ac:dyDescent="0.3">
      <c r="A13" t="s">
        <v>40</v>
      </c>
      <c r="B13" t="s">
        <v>31</v>
      </c>
      <c r="C13" t="s">
        <v>93</v>
      </c>
      <c r="D13" t="s">
        <v>94</v>
      </c>
      <c r="E13" t="s">
        <v>43</v>
      </c>
      <c r="F13" t="s">
        <v>35</v>
      </c>
      <c r="G13" t="s">
        <v>95</v>
      </c>
      <c r="H13" t="s">
        <v>65</v>
      </c>
      <c r="I13" t="s">
        <v>96</v>
      </c>
      <c r="J13" t="s">
        <v>97</v>
      </c>
      <c r="K13" t="s">
        <v>74</v>
      </c>
      <c r="L13" t="s">
        <v>1465</v>
      </c>
      <c r="M13" t="s">
        <v>38</v>
      </c>
      <c r="N13" t="s">
        <v>1465</v>
      </c>
      <c r="O13" t="s">
        <v>88</v>
      </c>
      <c r="P13">
        <v>0</v>
      </c>
      <c r="Q13" t="str">
        <f>VLOOKUP(pub?gid_1064752002_single_true_output_csv[[#This Row],[Column3]],UTDNOVEMBRO!B:AQ,42,FALSE)</f>
        <v>-11,870811</v>
      </c>
      <c r="R13" t="str">
        <f>VLOOKUP(pub?gid_1064752002_single_true_output_csv[[#This Row],[Column3]],UTDNOVEMBRO!B:AU,43,FALSE)</f>
        <v>-41,830110</v>
      </c>
      <c r="S13" t="str">
        <f>VLOOKUP(pub?gid_1064752002_single_true_output_csv[[#This Row],[Column3]],UTDNOVEMBRO!B:AC,28,FALSE)</f>
        <v>1</v>
      </c>
      <c r="T13" t="str">
        <f>VLOOKUP(pub?gid_1064752002_single_true_output_csv[[#This Row],[Column3]],UTDNOVEMBRO!B:C,2,FALSE)</f>
        <v/>
      </c>
      <c r="U13" t="str">
        <f>VLOOKUP(pub?gid_1064752002_single_true_output_csv[[#This Row],[Column3]],UTDNOVEMBRO!B:D,3,FALSE)</f>
        <v/>
      </c>
      <c r="V13" t="str">
        <f>VLOOKUP(pub?gid_1064752002_single_true_output_csv[[#This Row],[Column3]],UTDNOVEMBRO!B:K,10,FALSE)</f>
        <v>ALINE LIMA SILVA - U468383</v>
      </c>
      <c r="W13" t="str">
        <f>VLOOKUP(pub?gid_1064752002_single_true_output_csv[[#This Row],[Column3]],UTDNOVEMBRO!B:N,13,FALSE)</f>
        <v>16/10/25</v>
      </c>
      <c r="X13" t="str">
        <f>VLOOKUP(pub?gid_1064752002_single_true_output_csv[[#This Row],[Column3]],UTDNOVEMBRO!B:O,14,FALSE)</f>
        <v>OBRAS APITA PARA CONSTRUÇÃO, B-1207659, B-1225231 UMA DEPENDE DA OUTRA NO QUE SE DIZ RESPEITO A ADF. SÃO A MESMA DERIVAÇÃO</v>
      </c>
      <c r="Y13" t="str">
        <f>VLOOKUP(pub?gid_1064752002_single_true_output_csv[[#This Row],[Column3]],UTDNOVEMBRO!B:P,15,FALSE)</f>
        <v>16/10/25</v>
      </c>
      <c r="Z13" t="str">
        <f>VLOOKUP(pub?gid_1064752002_single_true_output_csv[[#This Row],[Column3]],UTDNOVEMBRO!B:Q,15,FALSE)</f>
        <v>16/10/25</v>
      </c>
    </row>
    <row r="14" spans="1:26" x14ac:dyDescent="0.3">
      <c r="A14" t="s">
        <v>40</v>
      </c>
      <c r="B14" t="s">
        <v>31</v>
      </c>
      <c r="C14" t="s">
        <v>98</v>
      </c>
      <c r="D14" t="s">
        <v>99</v>
      </c>
      <c r="E14" t="s">
        <v>100</v>
      </c>
      <c r="F14" t="s">
        <v>35</v>
      </c>
      <c r="G14" t="s">
        <v>101</v>
      </c>
      <c r="H14" t="s">
        <v>65</v>
      </c>
      <c r="I14" t="s">
        <v>102</v>
      </c>
      <c r="J14" t="s">
        <v>28</v>
      </c>
      <c r="K14" t="s">
        <v>74</v>
      </c>
      <c r="L14" t="s">
        <v>1465</v>
      </c>
      <c r="M14" t="s">
        <v>38</v>
      </c>
      <c r="N14" t="s">
        <v>1465</v>
      </c>
      <c r="O14" t="s">
        <v>37</v>
      </c>
      <c r="P14">
        <v>0</v>
      </c>
      <c r="Q14" t="str">
        <f>VLOOKUP(pub?gid_1064752002_single_true_output_csv[[#This Row],[Column3]],UTDNOVEMBRO!B:AQ,42,FALSE)</f>
        <v>-11,854066</v>
      </c>
      <c r="R14" t="str">
        <f>VLOOKUP(pub?gid_1064752002_single_true_output_csv[[#This Row],[Column3]],UTDNOVEMBRO!B:AU,43,FALSE)</f>
        <v>-41,613738</v>
      </c>
      <c r="S14" t="str">
        <f>VLOOKUP(pub?gid_1064752002_single_true_output_csv[[#This Row],[Column3]],UTDNOVEMBRO!B:AC,28,FALSE)</f>
        <v>1</v>
      </c>
      <c r="T14" t="str">
        <f>VLOOKUP(pub?gid_1064752002_single_true_output_csv[[#This Row],[Column3]],UTDNOVEMBRO!B:C,2,FALSE)</f>
        <v>X-1235682</v>
      </c>
      <c r="U14" t="str">
        <f>VLOOKUP(pub?gid_1064752002_single_true_output_csv[[#This Row],[Column3]],UTDNOVEMBRO!B:D,3,FALSE)</f>
        <v>X-1235709</v>
      </c>
      <c r="V14" t="str">
        <f>VLOOKUP(pub?gid_1064752002_single_true_output_csv[[#This Row],[Column3]],UTDNOVEMBRO!B:K,10,FALSE)</f>
        <v>MANOEL MESSIAS ALENCAR - U359765</v>
      </c>
      <c r="W14" t="str">
        <f>VLOOKUP(pub?gid_1064752002_single_true_output_csv[[#This Row],[Column3]],UTDNOVEMBRO!B:N,13,FALSE)</f>
        <v>15/10/25</v>
      </c>
      <c r="X14" t="str">
        <f>VLOOKUP(pub?gid_1064752002_single_true_output_csv[[#This Row],[Column3]],UTDNOVEMBRO!B:O,14,FALSE)</f>
        <v xml:space="preserve">A OBRA DERIVA DA ULTIMA N3-3 DA ADF DE PIMENTA B-1156677, ENCABEÇAR REDE MT CONFORME PROJETO.  N3-3 PARA N4-3  </v>
      </c>
      <c r="Y14" t="str">
        <f>VLOOKUP(pub?gid_1064752002_single_true_output_csv[[#This Row],[Column3]],UTDNOVEMBRO!B:P,15,FALSE)</f>
        <v>16/10/25</v>
      </c>
      <c r="Z14" t="str">
        <f>VLOOKUP(pub?gid_1064752002_single_true_output_csv[[#This Row],[Column3]],UTDNOVEMBRO!B:Q,15,FALSE)</f>
        <v>16/10/25</v>
      </c>
    </row>
    <row r="15" spans="1:26" x14ac:dyDescent="0.3">
      <c r="A15" t="s">
        <v>68</v>
      </c>
      <c r="B15" t="s">
        <v>21</v>
      </c>
      <c r="C15" t="s">
        <v>103</v>
      </c>
      <c r="D15" t="s">
        <v>104</v>
      </c>
      <c r="E15" t="s">
        <v>105</v>
      </c>
      <c r="F15" t="s">
        <v>35</v>
      </c>
      <c r="G15" t="s">
        <v>36</v>
      </c>
      <c r="H15" t="s">
        <v>106</v>
      </c>
      <c r="I15" t="s">
        <v>27</v>
      </c>
      <c r="J15" t="s">
        <v>66</v>
      </c>
      <c r="K15" t="s">
        <v>36</v>
      </c>
      <c r="L15" t="s">
        <v>1465</v>
      </c>
      <c r="M15" t="s">
        <v>81</v>
      </c>
      <c r="N15" t="s">
        <v>39</v>
      </c>
      <c r="O15" t="s">
        <v>106</v>
      </c>
      <c r="P15">
        <v>10</v>
      </c>
      <c r="Q15" t="str">
        <f>VLOOKUP(pub?gid_1064752002_single_true_output_csv[[#This Row],[Column3]],UTDNOVEMBRO!B:AQ,42,FALSE)</f>
        <v>-11,633036</v>
      </c>
      <c r="R15" t="str">
        <f>VLOOKUP(pub?gid_1064752002_single_true_output_csv[[#This Row],[Column3]],UTDNOVEMBRO!B:AU,43,FALSE)</f>
        <v>-41,149286</v>
      </c>
      <c r="S15" t="str">
        <f>VLOOKUP(pub?gid_1064752002_single_true_output_csv[[#This Row],[Column3]],UTDNOVEMBRO!B:AC,28,FALSE)</f>
        <v>1</v>
      </c>
      <c r="T15" t="str">
        <f>VLOOKUP(pub?gid_1064752002_single_true_output_csv[[#This Row],[Column3]],UTDNOVEMBRO!B:C,2,FALSE)</f>
        <v>N/A</v>
      </c>
      <c r="U15" t="str">
        <f>VLOOKUP(pub?gid_1064752002_single_true_output_csv[[#This Row],[Column3]],UTDNOVEMBRO!B:D,3,FALSE)</f>
        <v>N/A</v>
      </c>
      <c r="V15" t="str">
        <f>VLOOKUP(pub?gid_1064752002_single_true_output_csv[[#This Row],[Column3]],UTDNOVEMBRO!B:K,10,FALSE)</f>
        <v>JOSE ANTONIO SIMAS NETO - U349485</v>
      </c>
      <c r="W15" t="str">
        <f>VLOOKUP(pub?gid_1064752002_single_true_output_csv[[#This Row],[Column3]],UTDNOVEMBRO!B:N,13,FALSE)</f>
        <v>13/10/25</v>
      </c>
      <c r="X15" t="str">
        <f>VLOOKUP(pub?gid_1064752002_single_true_output_csv[[#This Row],[Column3]],UTDNOVEMBRO!B:O,14,FALSE)</f>
        <v>BITOLA DO CABO NA DERIVAÇÃO É MAIOR. E NAO POSSUI CONEC. ESTRIBO.</v>
      </c>
      <c r="Y15" t="str">
        <f>VLOOKUP(pub?gid_1064752002_single_true_output_csv[[#This Row],[Column3]],UTDNOVEMBRO!B:P,15,FALSE)</f>
        <v>13/10/25</v>
      </c>
      <c r="Z15" t="str">
        <f>VLOOKUP(pub?gid_1064752002_single_true_output_csv[[#This Row],[Column3]],UTDNOVEMBRO!B:Q,15,FALSE)</f>
        <v>13/10/25</v>
      </c>
    </row>
    <row r="16" spans="1:26" x14ac:dyDescent="0.3">
      <c r="A16" t="s">
        <v>108</v>
      </c>
      <c r="B16" t="s">
        <v>21</v>
      </c>
      <c r="C16" t="s">
        <v>109</v>
      </c>
      <c r="D16" t="s">
        <v>110</v>
      </c>
      <c r="E16" t="s">
        <v>85</v>
      </c>
      <c r="F16" t="s">
        <v>35</v>
      </c>
      <c r="G16" t="s">
        <v>1503</v>
      </c>
      <c r="H16" t="s">
        <v>111</v>
      </c>
      <c r="I16" t="s">
        <v>27</v>
      </c>
      <c r="J16" t="s">
        <v>91</v>
      </c>
      <c r="K16" t="s">
        <v>29</v>
      </c>
      <c r="L16" t="s">
        <v>1505</v>
      </c>
      <c r="M16" t="s">
        <v>38</v>
      </c>
      <c r="N16" t="s">
        <v>1465</v>
      </c>
      <c r="O16" t="s">
        <v>88</v>
      </c>
      <c r="P16">
        <v>3</v>
      </c>
      <c r="Q16" t="str">
        <f>VLOOKUP(pub?gid_1064752002_single_true_output_csv[[#This Row],[Column3]],UTDNOVEMBRO!B:AQ,42,FALSE)</f>
        <v>-11,156158</v>
      </c>
      <c r="R16" t="str">
        <f>VLOOKUP(pub?gid_1064752002_single_true_output_csv[[#This Row],[Column3]],UTDNOVEMBRO!B:AU,43,FALSE)</f>
        <v>-41,404053</v>
      </c>
      <c r="S16" t="str">
        <f>VLOOKUP(pub?gid_1064752002_single_true_output_csv[[#This Row],[Column3]],UTDNOVEMBRO!B:AC,28,FALSE)</f>
        <v>1</v>
      </c>
      <c r="T16" t="str">
        <f>VLOOKUP(pub?gid_1064752002_single_true_output_csv[[#This Row],[Column3]],UTDNOVEMBRO!B:C,2,FALSE)</f>
        <v/>
      </c>
      <c r="U16" t="str">
        <f>VLOOKUP(pub?gid_1064752002_single_true_output_csv[[#This Row],[Column3]],UTDNOVEMBRO!B:D,3,FALSE)</f>
        <v/>
      </c>
      <c r="V16" t="str">
        <f>VLOOKUP(pub?gid_1064752002_single_true_output_csv[[#This Row],[Column3]],UTDNOVEMBRO!B:K,10,FALSE)</f>
        <v>PEDRO ANDERSON NERI DE SOUZA - U465037</v>
      </c>
      <c r="W16" t="str">
        <f>VLOOKUP(pub?gid_1064752002_single_true_output_csv[[#This Row],[Column3]],UTDNOVEMBRO!B:N,13,FALSE)</f>
        <v>09/10/25</v>
      </c>
      <c r="X16" t="str">
        <f>VLOOKUP(pub?gid_1064752002_single_true_output_csv[[#This Row],[Column3]],UTDNOVEMBRO!B:O,14,FALSE)</f>
        <v xml:space="preserve">JA EXISTE UMA OBRA SAINDO DA DERIVAÇÃO EM QUESTAO QUE AINDA ESTA EM EXECUÇÃO, POREM, NA PRIMEIRA N3-3 AO INVES DE IR PRA ESQUERDA VAI PRA DIREITA. </v>
      </c>
      <c r="Y16" t="str">
        <f>VLOOKUP(pub?gid_1064752002_single_true_output_csv[[#This Row],[Column3]],UTDNOVEMBRO!B:P,15,FALSE)</f>
        <v>21/10/25</v>
      </c>
      <c r="Z16" t="str">
        <f>VLOOKUP(pub?gid_1064752002_single_true_output_csv[[#This Row],[Column3]],UTDNOVEMBRO!B:Q,15,FALSE)</f>
        <v>21/10/25</v>
      </c>
    </row>
    <row r="17" spans="1:26" x14ac:dyDescent="0.3">
      <c r="A17" t="s">
        <v>30</v>
      </c>
      <c r="B17" t="s">
        <v>31</v>
      </c>
      <c r="C17" t="s">
        <v>113</v>
      </c>
      <c r="D17" t="s">
        <v>114</v>
      </c>
      <c r="E17" t="s">
        <v>34</v>
      </c>
      <c r="F17" t="s">
        <v>35</v>
      </c>
      <c r="G17" t="s">
        <v>36</v>
      </c>
      <c r="H17" t="s">
        <v>80</v>
      </c>
      <c r="I17" t="s">
        <v>60</v>
      </c>
      <c r="J17" t="s">
        <v>60</v>
      </c>
      <c r="K17" t="s">
        <v>36</v>
      </c>
      <c r="L17" t="s">
        <v>1465</v>
      </c>
      <c r="M17" t="s">
        <v>1465</v>
      </c>
      <c r="N17" t="s">
        <v>1465</v>
      </c>
      <c r="O17" t="s">
        <v>80</v>
      </c>
      <c r="P17">
        <v>3</v>
      </c>
      <c r="Q17" t="str">
        <f>VLOOKUP(pub?gid_1064752002_single_true_output_csv[[#This Row],[Column3]],UTDNOVEMBRO!B:AQ,42,FALSE)</f>
        <v>-11.831079</v>
      </c>
      <c r="R17" t="str">
        <f>VLOOKUP(pub?gid_1064752002_single_true_output_csv[[#This Row],[Column3]],UTDNOVEMBRO!B:AU,43,FALSE)</f>
        <v>-41.74908</v>
      </c>
      <c r="S17" t="str">
        <f>VLOOKUP(pub?gid_1064752002_single_true_output_csv[[#This Row],[Column3]],UTDNOVEMBRO!B:AC,28,FALSE)</f>
        <v>1</v>
      </c>
      <c r="T17" t="str">
        <f>VLOOKUP(pub?gid_1064752002_single_true_output_csv[[#This Row],[Column3]],UTDNOVEMBRO!B:C,2,FALSE)</f>
        <v>N/A</v>
      </c>
      <c r="U17" t="str">
        <f>VLOOKUP(pub?gid_1064752002_single_true_output_csv[[#This Row],[Column3]],UTDNOVEMBRO!B:D,3,FALSE)</f>
        <v>N/A</v>
      </c>
      <c r="V17" t="str">
        <f>VLOOKUP(pub?gid_1064752002_single_true_output_csv[[#This Row],[Column3]],UTDNOVEMBRO!B:K,10,FALSE)</f>
        <v>MANOEL MESSIAS ALENCAR - U359765</v>
      </c>
      <c r="W17" t="str">
        <f>VLOOKUP(pub?gid_1064752002_single_true_output_csv[[#This Row],[Column3]],UTDNOVEMBRO!B:N,13,FALSE)</f>
        <v>15/10/25</v>
      </c>
      <c r="X17" t="str">
        <f>VLOOKUP(pub?gid_1064752002_single_true_output_csv[[#This Row],[Column3]],UTDNOVEMBRO!B:O,14,FALSE)</f>
        <v>ENCABEÇAR REDE CONFORME PROJETO</v>
      </c>
      <c r="Y17" t="str">
        <f>VLOOKUP(pub?gid_1064752002_single_true_output_csv[[#This Row],[Column3]],UTDNOVEMBRO!B:P,15,FALSE)</f>
        <v>17/10/25</v>
      </c>
      <c r="Z17" t="str">
        <f>VLOOKUP(pub?gid_1064752002_single_true_output_csv[[#This Row],[Column3]],UTDNOVEMBRO!B:Q,15,FALSE)</f>
        <v>17/10/25</v>
      </c>
    </row>
    <row r="18" spans="1:26" x14ac:dyDescent="0.3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35</v>
      </c>
      <c r="G18" t="s">
        <v>36</v>
      </c>
      <c r="H18" t="s">
        <v>54</v>
      </c>
      <c r="I18" t="s">
        <v>27</v>
      </c>
      <c r="J18" t="s">
        <v>27</v>
      </c>
      <c r="K18" t="s">
        <v>36</v>
      </c>
      <c r="L18" t="s">
        <v>1465</v>
      </c>
      <c r="M18" t="s">
        <v>1465</v>
      </c>
      <c r="N18" t="s">
        <v>1465</v>
      </c>
      <c r="O18" t="s">
        <v>54</v>
      </c>
      <c r="P18">
        <v>4</v>
      </c>
      <c r="Q18" t="str">
        <f>VLOOKUP(pub?gid_1064752002_single_true_output_csv[[#This Row],[Column3]],UTDNOVEMBRO!B:AQ,42,FALSE)</f>
        <v>-11,057811</v>
      </c>
      <c r="R18" t="str">
        <f>VLOOKUP(pub?gid_1064752002_single_true_output_csv[[#This Row],[Column3]],UTDNOVEMBRO!B:AU,43,FALSE)</f>
        <v>-42,155731</v>
      </c>
      <c r="S18" t="str">
        <f>VLOOKUP(pub?gid_1064752002_single_true_output_csv[[#This Row],[Column3]],UTDNOVEMBRO!B:AC,28,FALSE)</f>
        <v>1</v>
      </c>
      <c r="T18" t="str">
        <f>VLOOKUP(pub?gid_1064752002_single_true_output_csv[[#This Row],[Column3]],UTDNOVEMBRO!B:C,2,FALSE)</f>
        <v>N/A</v>
      </c>
      <c r="U18" t="str">
        <f>VLOOKUP(pub?gid_1064752002_single_true_output_csv[[#This Row],[Column3]],UTDNOVEMBRO!B:D,3,FALSE)</f>
        <v>N/A</v>
      </c>
      <c r="V18" t="str">
        <f>VLOOKUP(pub?gid_1064752002_single_true_output_csv[[#This Row],[Column3]],UTDNOVEMBRO!B:K,10,FALSE)</f>
        <v>JARBAS LIMA VIEIRA - U348612</v>
      </c>
      <c r="W18" t="str">
        <f>VLOOKUP(pub?gid_1064752002_single_true_output_csv[[#This Row],[Column3]],UTDNOVEMBRO!B:N,13,FALSE)</f>
        <v>14/10/25</v>
      </c>
      <c r="X18" t="str">
        <f>VLOOKUP(pub?gid_1064752002_single_true_output_csv[[#This Row],[Column3]],UTDNOVEMBRO!B:O,14,FALSE)</f>
        <v>OBRA APITA PARA CONSTRUÇÃO CONFORME PROJETO</v>
      </c>
      <c r="Y18" t="str">
        <f>VLOOKUP(pub?gid_1064752002_single_true_output_csv[[#This Row],[Column3]],UTDNOVEMBRO!B:P,15,FALSE)</f>
        <v>15/10/25</v>
      </c>
      <c r="Z18" t="str">
        <f>VLOOKUP(pub?gid_1064752002_single_true_output_csv[[#This Row],[Column3]],UTDNOVEMBRO!B:Q,15,FALSE)</f>
        <v>15/10/25</v>
      </c>
    </row>
    <row r="19" spans="1:26" x14ac:dyDescent="0.3">
      <c r="A19" t="s">
        <v>115</v>
      </c>
      <c r="B19" t="s">
        <v>116</v>
      </c>
      <c r="C19" t="s">
        <v>120</v>
      </c>
      <c r="D19" t="s">
        <v>121</v>
      </c>
      <c r="E19" t="s">
        <v>119</v>
      </c>
      <c r="F19" t="s">
        <v>35</v>
      </c>
      <c r="G19" t="s">
        <v>36</v>
      </c>
      <c r="H19" t="s">
        <v>107</v>
      </c>
      <c r="I19" t="s">
        <v>60</v>
      </c>
      <c r="J19" t="s">
        <v>52</v>
      </c>
      <c r="K19" t="s">
        <v>36</v>
      </c>
      <c r="L19" t="s">
        <v>1465</v>
      </c>
      <c r="M19" t="s">
        <v>1465</v>
      </c>
      <c r="N19" t="s">
        <v>1465</v>
      </c>
      <c r="O19" t="s">
        <v>107</v>
      </c>
      <c r="P19">
        <v>6</v>
      </c>
      <c r="Q19" t="str">
        <f>VLOOKUP(pub?gid_1064752002_single_true_output_csv[[#This Row],[Column3]],UTDNOVEMBRO!B:AQ,42,FALSE)</f>
        <v>-11.139252</v>
      </c>
      <c r="R19" t="str">
        <f>VLOOKUP(pub?gid_1064752002_single_true_output_csv[[#This Row],[Column3]],UTDNOVEMBRO!B:AU,43,FALSE)</f>
        <v>-42.05577</v>
      </c>
      <c r="S19" t="str">
        <f>VLOOKUP(pub?gid_1064752002_single_true_output_csv[[#This Row],[Column3]],UTDNOVEMBRO!B:AC,28,FALSE)</f>
        <v>1</v>
      </c>
      <c r="T19" t="str">
        <f>VLOOKUP(pub?gid_1064752002_single_true_output_csv[[#This Row],[Column3]],UTDNOVEMBRO!B:C,2,FALSE)</f>
        <v>N/A</v>
      </c>
      <c r="U19" t="str">
        <f>VLOOKUP(pub?gid_1064752002_single_true_output_csv[[#This Row],[Column3]],UTDNOVEMBRO!B:D,3,FALSE)</f>
        <v>N/A</v>
      </c>
      <c r="V19" t="str">
        <f>VLOOKUP(pub?gid_1064752002_single_true_output_csv[[#This Row],[Column3]],UTDNOVEMBRO!B:K,10,FALSE)</f>
        <v>JARBAS LIMA VIEIRA - U348612</v>
      </c>
      <c r="W19" t="str">
        <f>VLOOKUP(pub?gid_1064752002_single_true_output_csv[[#This Row],[Column3]],UTDNOVEMBRO!B:N,13,FALSE)</f>
        <v>14/10/25</v>
      </c>
      <c r="X19" t="str">
        <f>VLOOKUP(pub?gid_1064752002_single_true_output_csv[[#This Row],[Column3]],UTDNOVEMBRO!B:O,14,FALSE)</f>
        <v xml:space="preserve">OBRA APITA PARA CONSTRUÇÃO CONFORME PROJETO </v>
      </c>
      <c r="Y19" t="str">
        <f>VLOOKUP(pub?gid_1064752002_single_true_output_csv[[#This Row],[Column3]],UTDNOVEMBRO!B:P,15,FALSE)</f>
        <v>16/10/25</v>
      </c>
      <c r="Z19" t="str">
        <f>VLOOKUP(pub?gid_1064752002_single_true_output_csv[[#This Row],[Column3]],UTDNOVEMBRO!B:Q,15,FALSE)</f>
        <v>16/10/25</v>
      </c>
    </row>
    <row r="20" spans="1:26" x14ac:dyDescent="0.3">
      <c r="A20" t="s">
        <v>122</v>
      </c>
      <c r="B20" t="s">
        <v>116</v>
      </c>
      <c r="C20" t="s">
        <v>123</v>
      </c>
      <c r="D20" t="s">
        <v>124</v>
      </c>
      <c r="E20" t="s">
        <v>125</v>
      </c>
      <c r="F20" t="s">
        <v>35</v>
      </c>
      <c r="G20" t="s">
        <v>1504</v>
      </c>
      <c r="H20" t="s">
        <v>126</v>
      </c>
      <c r="I20" t="s">
        <v>60</v>
      </c>
      <c r="J20" t="s">
        <v>28</v>
      </c>
      <c r="K20" t="s">
        <v>29</v>
      </c>
      <c r="L20" t="s">
        <v>1465</v>
      </c>
      <c r="M20" t="s">
        <v>38</v>
      </c>
      <c r="N20" t="s">
        <v>1465</v>
      </c>
      <c r="O20" t="s">
        <v>126</v>
      </c>
      <c r="P20">
        <v>0</v>
      </c>
      <c r="Q20" t="str">
        <f>VLOOKUP(pub?gid_1064752002_single_true_output_csv[[#This Row],[Column3]],UTDNOVEMBRO!B:AQ,42,FALSE)</f>
        <v>-11.392045</v>
      </c>
      <c r="R20" t="str">
        <f>VLOOKUP(pub?gid_1064752002_single_true_output_csv[[#This Row],[Column3]],UTDNOVEMBRO!B:AU,43,FALSE)</f>
        <v>-42.000308</v>
      </c>
      <c r="S20" t="str">
        <f>VLOOKUP(pub?gid_1064752002_single_true_output_csv[[#This Row],[Column3]],UTDNOVEMBRO!B:AC,28,FALSE)</f>
        <v>1</v>
      </c>
      <c r="T20" t="str">
        <f>VLOOKUP(pub?gid_1064752002_single_true_output_csv[[#This Row],[Column3]],UTDNOVEMBRO!B:C,2,FALSE)</f>
        <v>B-1235122</v>
      </c>
      <c r="U20" t="str">
        <f>VLOOKUP(pub?gid_1064752002_single_true_output_csv[[#This Row],[Column3]],UTDNOVEMBRO!B:D,3,FALSE)</f>
        <v>B-1235135</v>
      </c>
      <c r="V20" t="str">
        <f>VLOOKUP(pub?gid_1064752002_single_true_output_csv[[#This Row],[Column3]],UTDNOVEMBRO!B:K,10,FALSE)</f>
        <v>JARBAS LIMA VIEIRA - U348612</v>
      </c>
      <c r="W20" t="str">
        <f>VLOOKUP(pub?gid_1064752002_single_true_output_csv[[#This Row],[Column3]],UTDNOVEMBRO!B:N,13,FALSE)</f>
        <v>27/10/25</v>
      </c>
      <c r="X20" t="str">
        <f>VLOOKUP(pub?gid_1064752002_single_true_output_csv[[#This Row],[Column3]],UTDNOVEMBRO!B:O,14,FALSE)</f>
        <v>OBRA APITA PARA CONSTRUÇÃO,</v>
      </c>
      <c r="Y20" t="str">
        <f>VLOOKUP(pub?gid_1064752002_single_true_output_csv[[#This Row],[Column3]],UTDNOVEMBRO!B:P,15,FALSE)</f>
        <v>27/10/25</v>
      </c>
      <c r="Z20" t="str">
        <f>VLOOKUP(pub?gid_1064752002_single_true_output_csv[[#This Row],[Column3]],UTDNOVEMBRO!B:Q,15,FALSE)</f>
        <v>27/10/25</v>
      </c>
    </row>
    <row r="21" spans="1:26" x14ac:dyDescent="0.3">
      <c r="A21" t="s">
        <v>127</v>
      </c>
      <c r="B21" t="s">
        <v>31</v>
      </c>
      <c r="C21" t="s">
        <v>128</v>
      </c>
      <c r="D21" t="s">
        <v>129</v>
      </c>
      <c r="E21" t="s">
        <v>34</v>
      </c>
      <c r="F21" t="s">
        <v>35</v>
      </c>
      <c r="G21" t="s">
        <v>130</v>
      </c>
      <c r="H21" t="s">
        <v>65</v>
      </c>
      <c r="I21" t="s">
        <v>60</v>
      </c>
      <c r="J21" t="s">
        <v>96</v>
      </c>
      <c r="K21" t="s">
        <v>29</v>
      </c>
      <c r="L21" t="s">
        <v>1465</v>
      </c>
      <c r="M21" t="s">
        <v>81</v>
      </c>
      <c r="N21" t="s">
        <v>39</v>
      </c>
      <c r="O21" t="s">
        <v>65</v>
      </c>
      <c r="P21">
        <v>15</v>
      </c>
      <c r="Q21" t="str">
        <f>VLOOKUP(pub?gid_1064752002_single_true_output_csv[[#This Row],[Column3]],UTDNOVEMBRO!B:AQ,42,FALSE)</f>
        <v>-11,907336</v>
      </c>
      <c r="R21" t="str">
        <f>VLOOKUP(pub?gid_1064752002_single_true_output_csv[[#This Row],[Column3]],UTDNOVEMBRO!B:AU,43,FALSE)</f>
        <v>-41,702260</v>
      </c>
      <c r="S21" t="str">
        <f>VLOOKUP(pub?gid_1064752002_single_true_output_csv[[#This Row],[Column3]],UTDNOVEMBRO!B:AC,28,FALSE)</f>
        <v>0</v>
      </c>
      <c r="T21" t="str">
        <f>VLOOKUP(pub?gid_1064752002_single_true_output_csv[[#This Row],[Column3]],UTDNOVEMBRO!B:C,2,FALSE)</f>
        <v/>
      </c>
      <c r="U21" t="str">
        <f>VLOOKUP(pub?gid_1064752002_single_true_output_csv[[#This Row],[Column3]],UTDNOVEMBRO!B:D,3,FALSE)</f>
        <v/>
      </c>
      <c r="V21" t="str">
        <f>VLOOKUP(pub?gid_1064752002_single_true_output_csv[[#This Row],[Column3]],UTDNOVEMBRO!B:K,10,FALSE)</f>
        <v>MANOEL MESSIAS ALENCAR - U359765</v>
      </c>
      <c r="W21" t="str">
        <f>VLOOKUP(pub?gid_1064752002_single_true_output_csv[[#This Row],[Column3]],UTDNOVEMBRO!B:N,13,FALSE)</f>
        <v>08/10/25</v>
      </c>
      <c r="X21" t="str">
        <f>VLOOKUP(pub?gid_1064752002_single_true_output_csv[[#This Row],[Column3]],UTDNOVEMBRO!B:O,14,FALSE)</f>
        <v>ADICIONAR FASE CONFORME PROJETO.</v>
      </c>
      <c r="Y21" t="str">
        <f>VLOOKUP(pub?gid_1064752002_single_true_output_csv[[#This Row],[Column3]],UTDNOVEMBRO!B:P,15,FALSE)</f>
        <v>09/10/25</v>
      </c>
      <c r="Z21" t="str">
        <f>VLOOKUP(pub?gid_1064752002_single_true_output_csv[[#This Row],[Column3]],UTDNOVEMBRO!B:Q,15,FALSE)</f>
        <v>09/10/25</v>
      </c>
    </row>
    <row r="22" spans="1:26" x14ac:dyDescent="0.3">
      <c r="A22" t="s">
        <v>61</v>
      </c>
      <c r="B22" t="s">
        <v>31</v>
      </c>
      <c r="C22" t="s">
        <v>131</v>
      </c>
      <c r="D22" t="s">
        <v>132</v>
      </c>
      <c r="E22" t="s">
        <v>49</v>
      </c>
      <c r="F22" t="s">
        <v>35</v>
      </c>
      <c r="G22" t="s">
        <v>133</v>
      </c>
      <c r="H22" t="s">
        <v>76</v>
      </c>
      <c r="I22" t="s">
        <v>91</v>
      </c>
      <c r="J22" t="s">
        <v>91</v>
      </c>
      <c r="K22" t="s">
        <v>74</v>
      </c>
      <c r="L22" t="s">
        <v>1465</v>
      </c>
      <c r="M22" t="s">
        <v>75</v>
      </c>
      <c r="N22" t="s">
        <v>1465</v>
      </c>
      <c r="O22" t="s">
        <v>76</v>
      </c>
      <c r="P22">
        <v>0</v>
      </c>
      <c r="Q22" t="str">
        <f>VLOOKUP(pub?gid_1064752002_single_true_output_csv[[#This Row],[Column3]],UTDNOVEMBRO!B:AQ,42,FALSE)</f>
        <v>-11.449132</v>
      </c>
      <c r="R22" t="str">
        <f>VLOOKUP(pub?gid_1064752002_single_true_output_csv[[#This Row],[Column3]],UTDNOVEMBRO!B:AU,43,FALSE)</f>
        <v>-42.262552</v>
      </c>
      <c r="S22" t="str">
        <f>VLOOKUP(pub?gid_1064752002_single_true_output_csv[[#This Row],[Column3]],UTDNOVEMBRO!B:AC,28,FALSE)</f>
        <v>0</v>
      </c>
      <c r="T22" t="str">
        <f>VLOOKUP(pub?gid_1064752002_single_true_output_csv[[#This Row],[Column3]],UTDNOVEMBRO!B:C,2,FALSE)</f>
        <v>N/A</v>
      </c>
      <c r="U22" t="str">
        <f>VLOOKUP(pub?gid_1064752002_single_true_output_csv[[#This Row],[Column3]],UTDNOVEMBRO!B:D,3,FALSE)</f>
        <v>N/A</v>
      </c>
      <c r="V22" t="str">
        <f>VLOOKUP(pub?gid_1064752002_single_true_output_csv[[#This Row],[Column3]],UTDNOVEMBRO!B:K,10,FALSE)</f>
        <v>ALINE LIMA SILVA - U468383</v>
      </c>
      <c r="W22" t="str">
        <f>VLOOKUP(pub?gid_1064752002_single_true_output_csv[[#This Row],[Column3]],UTDNOVEMBRO!B:N,13,FALSE)</f>
        <v>23/10/25</v>
      </c>
      <c r="X22" t="str">
        <f>VLOOKUP(pub?gid_1064752002_single_true_output_csv[[#This Row],[Column3]],UTDNOVEMBRO!B:O,14,FALSE)</f>
        <v>OBRA APITAR PARA CONSTRUÇÃO CONFORME PROJETO.</v>
      </c>
      <c r="Y22" t="str">
        <f>VLOOKUP(pub?gid_1064752002_single_true_output_csv[[#This Row],[Column3]],UTDNOVEMBRO!B:P,15,FALSE)</f>
        <v>24/10/25</v>
      </c>
      <c r="Z22" t="str">
        <f>VLOOKUP(pub?gid_1064752002_single_true_output_csv[[#This Row],[Column3]],UTDNOVEMBRO!B:Q,15,FALSE)</f>
        <v>24/10/25</v>
      </c>
    </row>
    <row r="23" spans="1:26" x14ac:dyDescent="0.3">
      <c r="A23" t="s">
        <v>134</v>
      </c>
      <c r="B23" t="s">
        <v>31</v>
      </c>
      <c r="C23" t="s">
        <v>135</v>
      </c>
      <c r="D23" t="s">
        <v>136</v>
      </c>
      <c r="E23" t="s">
        <v>137</v>
      </c>
      <c r="F23" t="s">
        <v>35</v>
      </c>
      <c r="G23" t="s">
        <v>36</v>
      </c>
      <c r="H23" t="s">
        <v>54</v>
      </c>
      <c r="I23" t="s">
        <v>27</v>
      </c>
      <c r="J23" t="s">
        <v>27</v>
      </c>
      <c r="K23" t="s">
        <v>36</v>
      </c>
      <c r="L23" t="s">
        <v>1465</v>
      </c>
      <c r="M23" t="s">
        <v>1465</v>
      </c>
      <c r="N23" t="s">
        <v>1465</v>
      </c>
      <c r="O23" t="s">
        <v>54</v>
      </c>
      <c r="P23">
        <v>4</v>
      </c>
      <c r="Q23" t="str">
        <f>VLOOKUP(pub?gid_1064752002_single_true_output_csv[[#This Row],[Column3]],UTDNOVEMBRO!B:AQ,42,FALSE)</f>
        <v>-11,595705</v>
      </c>
      <c r="R23" t="str">
        <f>VLOOKUP(pub?gid_1064752002_single_true_output_csv[[#This Row],[Column3]],UTDNOVEMBRO!B:AU,43,FALSE)</f>
        <v>-41,855320</v>
      </c>
      <c r="S23" t="str">
        <f>VLOOKUP(pub?gid_1064752002_single_true_output_csv[[#This Row],[Column3]],UTDNOVEMBRO!B:AC,28,FALSE)</f>
        <v>1</v>
      </c>
      <c r="T23" t="str">
        <f>VLOOKUP(pub?gid_1064752002_single_true_output_csv[[#This Row],[Column3]],UTDNOVEMBRO!B:C,2,FALSE)</f>
        <v>B-1235745</v>
      </c>
      <c r="U23" t="str">
        <f>VLOOKUP(pub?gid_1064752002_single_true_output_csv[[#This Row],[Column3]],UTDNOVEMBRO!B:D,3,FALSE)</f>
        <v>B-1235750</v>
      </c>
      <c r="V23" t="str">
        <f>VLOOKUP(pub?gid_1064752002_single_true_output_csv[[#This Row],[Column3]],UTDNOVEMBRO!B:K,10,FALSE)</f>
        <v>ALINE LIMA SILVA - U468383</v>
      </c>
      <c r="W23" t="str">
        <f>VLOOKUP(pub?gid_1064752002_single_true_output_csv[[#This Row],[Column3]],UTDNOVEMBRO!B:N,13,FALSE)</f>
        <v>08/10/25</v>
      </c>
      <c r="X23" t="str">
        <f>VLOOKUP(pub?gid_1064752002_single_true_output_csv[[#This Row],[Column3]],UTDNOVEMBRO!B:O,14,FALSE)</f>
        <v>OBRA APITA PARA CONSTRUÇÃO.CONFOME PROJETO _x000D_
ENCABEÇAR DE REDE  BT_x000D_</v>
      </c>
      <c r="Y23" t="str">
        <f>VLOOKUP(pub?gid_1064752002_single_true_output_csv[[#This Row],[Column3]],UTDNOVEMBRO!B:P,15,FALSE)</f>
        <v>09/10/25</v>
      </c>
      <c r="Z23" t="str">
        <f>VLOOKUP(pub?gid_1064752002_single_true_output_csv[[#This Row],[Column3]],UTDNOVEMBRO!B:Q,15,FALSE)</f>
        <v>09/10/25</v>
      </c>
    </row>
    <row r="24" spans="1:26" x14ac:dyDescent="0.3">
      <c r="A24" t="s">
        <v>134</v>
      </c>
      <c r="B24" t="s">
        <v>31</v>
      </c>
      <c r="C24" t="s">
        <v>138</v>
      </c>
      <c r="D24" t="s">
        <v>139</v>
      </c>
      <c r="E24" t="s">
        <v>137</v>
      </c>
      <c r="F24" t="s">
        <v>35</v>
      </c>
      <c r="G24" t="s">
        <v>140</v>
      </c>
      <c r="H24" t="s">
        <v>1468</v>
      </c>
      <c r="I24" t="s">
        <v>60</v>
      </c>
      <c r="J24" t="s">
        <v>28</v>
      </c>
      <c r="K24" t="s">
        <v>29</v>
      </c>
      <c r="L24" t="s">
        <v>1465</v>
      </c>
      <c r="M24" t="s">
        <v>81</v>
      </c>
      <c r="N24" t="s">
        <v>91</v>
      </c>
      <c r="O24" t="s">
        <v>1530</v>
      </c>
      <c r="P24">
        <v>34</v>
      </c>
      <c r="Q24" t="str">
        <f>VLOOKUP(pub?gid_1064752002_single_true_output_csv[[#This Row],[Column3]],UTDNOVEMBRO!B:AQ,42,FALSE)</f>
        <v>-11.542334</v>
      </c>
      <c r="R24" t="str">
        <f>VLOOKUP(pub?gid_1064752002_single_true_output_csv[[#This Row],[Column3]],UTDNOVEMBRO!B:AU,43,FALSE)</f>
        <v>-41.883423</v>
      </c>
      <c r="S24" t="str">
        <f>VLOOKUP(pub?gid_1064752002_single_true_output_csv[[#This Row],[Column3]],UTDNOVEMBRO!B:AC,28,FALSE)</f>
        <v>2</v>
      </c>
      <c r="T24" t="str">
        <f>VLOOKUP(pub?gid_1064752002_single_true_output_csv[[#This Row],[Column3]],UTDNOVEMBRO!B:C,2,FALSE)</f>
        <v>CRIAR</v>
      </c>
      <c r="U24" t="str">
        <f>VLOOKUP(pub?gid_1064752002_single_true_output_csv[[#This Row],[Column3]],UTDNOVEMBRO!B:D,3,FALSE)</f>
        <v>CRIAR</v>
      </c>
      <c r="V24" t="str">
        <f>VLOOKUP(pub?gid_1064752002_single_true_output_csv[[#This Row],[Column3]],UTDNOVEMBRO!B:K,10,FALSE)</f>
        <v>ALINE LIMA SILVA - U468383</v>
      </c>
      <c r="W24" t="str">
        <f>VLOOKUP(pub?gid_1064752002_single_true_output_csv[[#This Row],[Column3]],UTDNOVEMBRO!B:N,13,FALSE)</f>
        <v>17/10/25</v>
      </c>
      <c r="X24" t="str">
        <f>VLOOKUP(pub?gid_1064752002_single_true_output_csv[[#This Row],[Column3]],UTDNOVEMBRO!B:O,14,FALSE)</f>
        <v>OBRA APITAR PARA CONSTRUÇÃO CONFORME PROJETO.</v>
      </c>
      <c r="Y24" t="str">
        <f>VLOOKUP(pub?gid_1064752002_single_true_output_csv[[#This Row],[Column3]],UTDNOVEMBRO!B:P,15,FALSE)</f>
        <v>20/10/25</v>
      </c>
      <c r="Z24" t="str">
        <f>VLOOKUP(pub?gid_1064752002_single_true_output_csv[[#This Row],[Column3]],UTDNOVEMBRO!B:Q,15,FALSE)</f>
        <v>20/10/25</v>
      </c>
    </row>
    <row r="25" spans="1:26" x14ac:dyDescent="0.3">
      <c r="A25" t="s">
        <v>142</v>
      </c>
      <c r="B25" t="s">
        <v>116</v>
      </c>
      <c r="C25" t="s">
        <v>143</v>
      </c>
      <c r="D25" t="s">
        <v>144</v>
      </c>
      <c r="E25" t="s">
        <v>145</v>
      </c>
      <c r="F25" t="s">
        <v>35</v>
      </c>
      <c r="G25" t="s">
        <v>36</v>
      </c>
      <c r="H25" t="s">
        <v>146</v>
      </c>
      <c r="I25" t="s">
        <v>60</v>
      </c>
      <c r="J25" t="s">
        <v>53</v>
      </c>
      <c r="K25" t="s">
        <v>36</v>
      </c>
      <c r="L25" t="s">
        <v>1465</v>
      </c>
      <c r="M25" t="s">
        <v>38</v>
      </c>
      <c r="N25" t="s">
        <v>39</v>
      </c>
      <c r="O25" t="s">
        <v>146</v>
      </c>
      <c r="P25">
        <v>7</v>
      </c>
      <c r="Q25" t="str">
        <f>VLOOKUP(pub?gid_1064752002_single_true_output_csv[[#This Row],[Column3]],UTDNOVEMBRO!B:AQ,42,FALSE)</f>
        <v>-11,174356</v>
      </c>
      <c r="R25" t="str">
        <f>VLOOKUP(pub?gid_1064752002_single_true_output_csv[[#This Row],[Column3]],UTDNOVEMBRO!B:AU,43,FALSE)</f>
        <v>-41,803870</v>
      </c>
      <c r="S25" t="str">
        <f>VLOOKUP(pub?gid_1064752002_single_true_output_csv[[#This Row],[Column3]],UTDNOVEMBRO!B:AC,28,FALSE)</f>
        <v>1</v>
      </c>
      <c r="T25" t="str">
        <f>VLOOKUP(pub?gid_1064752002_single_true_output_csv[[#This Row],[Column3]],UTDNOVEMBRO!B:C,2,FALSE)</f>
        <v>B-1235744</v>
      </c>
      <c r="U25" t="str">
        <f>VLOOKUP(pub?gid_1064752002_single_true_output_csv[[#This Row],[Column3]],UTDNOVEMBRO!B:D,3,FALSE)</f>
        <v>B-1235749</v>
      </c>
      <c r="V25" t="str">
        <f>VLOOKUP(pub?gid_1064752002_single_true_output_csv[[#This Row],[Column3]],UTDNOVEMBRO!B:K,10,FALSE)</f>
        <v>FLAVIO ALMEIDA DOS ANJOS - U468839</v>
      </c>
      <c r="W25" t="str">
        <f>VLOOKUP(pub?gid_1064752002_single_true_output_csv[[#This Row],[Column3]],UTDNOVEMBRO!B:N,13,FALSE)</f>
        <v>21/10/25</v>
      </c>
      <c r="X25" t="str">
        <f>VLOOKUP(pub?gid_1064752002_single_true_output_csv[[#This Row],[Column3]],UTDNOVEMBRO!B:O,14,FALSE)</f>
        <v xml:space="preserve">ALTERAR DERIVAÇÃO. MONTAR ESTRUTURA N3 NO PG E855712 E MONTAR N4 COM CHAVE NO PONTO  05. </v>
      </c>
      <c r="Y25" t="str">
        <f>VLOOKUP(pub?gid_1064752002_single_true_output_csv[[#This Row],[Column3]],UTDNOVEMBRO!B:P,15,FALSE)</f>
        <v>27/10/25</v>
      </c>
      <c r="Z25" t="str">
        <f>VLOOKUP(pub?gid_1064752002_single_true_output_csv[[#This Row],[Column3]],UTDNOVEMBRO!B:Q,15,FALSE)</f>
        <v>27/10/25</v>
      </c>
    </row>
    <row r="26" spans="1:26" x14ac:dyDescent="0.3">
      <c r="A26" t="s">
        <v>1509</v>
      </c>
      <c r="B26" t="s">
        <v>21</v>
      </c>
      <c r="C26" t="s">
        <v>147</v>
      </c>
      <c r="D26" t="s">
        <v>148</v>
      </c>
      <c r="E26" t="s">
        <v>85</v>
      </c>
      <c r="F26" t="s">
        <v>35</v>
      </c>
      <c r="G26" t="s">
        <v>1503</v>
      </c>
      <c r="H26" t="s">
        <v>149</v>
      </c>
      <c r="I26" t="s">
        <v>150</v>
      </c>
      <c r="J26" t="s">
        <v>28</v>
      </c>
      <c r="K26" t="s">
        <v>74</v>
      </c>
      <c r="L26" t="s">
        <v>1505</v>
      </c>
      <c r="M26" t="s">
        <v>38</v>
      </c>
      <c r="N26" t="s">
        <v>1465</v>
      </c>
      <c r="O26" t="s">
        <v>182</v>
      </c>
      <c r="P26">
        <v>2</v>
      </c>
      <c r="Q26" t="str">
        <f>VLOOKUP(pub?gid_1064752002_single_true_output_csv[[#This Row],[Column3]],UTDNOVEMBRO!B:AQ,42,FALSE)</f>
        <v>-11,182657</v>
      </c>
      <c r="R26" t="str">
        <f>VLOOKUP(pub?gid_1064752002_single_true_output_csv[[#This Row],[Column3]],UTDNOVEMBRO!B:AU,43,FALSE)</f>
        <v>-41,397356</v>
      </c>
      <c r="S26" t="str">
        <f>VLOOKUP(pub?gid_1064752002_single_true_output_csv[[#This Row],[Column3]],UTDNOVEMBRO!B:AC,28,FALSE)</f>
        <v>3</v>
      </c>
      <c r="T26" t="str">
        <f>VLOOKUP(pub?gid_1064752002_single_true_output_csv[[#This Row],[Column3]],UTDNOVEMBRO!B:C,2,FALSE)</f>
        <v/>
      </c>
      <c r="U26" t="str">
        <f>VLOOKUP(pub?gid_1064752002_single_true_output_csv[[#This Row],[Column3]],UTDNOVEMBRO!B:D,3,FALSE)</f>
        <v/>
      </c>
      <c r="V26" t="str">
        <f>VLOOKUP(pub?gid_1064752002_single_true_output_csv[[#This Row],[Column3]],UTDNOVEMBRO!B:K,10,FALSE)</f>
        <v>PEDRO ANDERSON NERI DE SOUZA - U465037</v>
      </c>
      <c r="W26" t="str">
        <f>VLOOKUP(pub?gid_1064752002_single_true_output_csv[[#This Row],[Column3]],UTDNOVEMBRO!B:N,13,FALSE)</f>
        <v>09/10/25</v>
      </c>
      <c r="X26" t="str">
        <f>VLOOKUP(pub?gid_1064752002_single_true_output_csv[[#This Row],[Column3]],UTDNOVEMBRO!B:O,14,FALSE)</f>
        <v>INTERCALAR POSTE MT 11/600 NO OUTRO LADO DA CERCA. POIS SE TRANSFORMAR A EXISTENTE EM N4 VAI SAIR MUITO TORTA POR CONTA DO POSTE DT.</v>
      </c>
      <c r="Y26" t="str">
        <f>VLOOKUP(pub?gid_1064752002_single_true_output_csv[[#This Row],[Column3]],UTDNOVEMBRO!B:P,15,FALSE)</f>
        <v>13/10/25</v>
      </c>
      <c r="Z26" t="str">
        <f>VLOOKUP(pub?gid_1064752002_single_true_output_csv[[#This Row],[Column3]],UTDNOVEMBRO!B:Q,15,FALSE)</f>
        <v>13/10/25</v>
      </c>
    </row>
    <row r="27" spans="1:26" x14ac:dyDescent="0.3">
      <c r="A27" t="s">
        <v>82</v>
      </c>
      <c r="B27" t="s">
        <v>21</v>
      </c>
      <c r="C27" t="s">
        <v>151</v>
      </c>
      <c r="D27" t="s">
        <v>152</v>
      </c>
      <c r="E27" t="s">
        <v>85</v>
      </c>
      <c r="F27" t="s">
        <v>35</v>
      </c>
      <c r="G27" t="s">
        <v>1510</v>
      </c>
      <c r="H27" t="s">
        <v>153</v>
      </c>
      <c r="I27" t="s">
        <v>72</v>
      </c>
      <c r="J27" t="s">
        <v>92</v>
      </c>
      <c r="K27" t="s">
        <v>29</v>
      </c>
      <c r="L27" t="s">
        <v>1505</v>
      </c>
      <c r="M27" t="s">
        <v>38</v>
      </c>
      <c r="N27" t="s">
        <v>1465</v>
      </c>
      <c r="O27" t="s">
        <v>76</v>
      </c>
      <c r="P27">
        <v>0</v>
      </c>
      <c r="Q27" t="str">
        <f>VLOOKUP(pub?gid_1064752002_single_true_output_csv[[#This Row],[Column3]],UTDNOVEMBRO!B:AQ,42,FALSE)</f>
        <v>-11,158357</v>
      </c>
      <c r="R27" t="str">
        <f>VLOOKUP(pub?gid_1064752002_single_true_output_csv[[#This Row],[Column3]],UTDNOVEMBRO!B:AU,43,FALSE)</f>
        <v>-41,453961</v>
      </c>
      <c r="S27" t="str">
        <f>VLOOKUP(pub?gid_1064752002_single_true_output_csv[[#This Row],[Column3]],UTDNOVEMBRO!B:AC,28,FALSE)</f>
        <v>1</v>
      </c>
      <c r="T27" t="str">
        <f>VLOOKUP(pub?gid_1064752002_single_true_output_csv[[#This Row],[Column3]],UTDNOVEMBRO!B:C,2,FALSE)</f>
        <v/>
      </c>
      <c r="U27" t="str">
        <f>VLOOKUP(pub?gid_1064752002_single_true_output_csv[[#This Row],[Column3]],UTDNOVEMBRO!B:D,3,FALSE)</f>
        <v/>
      </c>
      <c r="V27" t="str">
        <f>VLOOKUP(pub?gid_1064752002_single_true_output_csv[[#This Row],[Column3]],UTDNOVEMBRO!B:K,10,FALSE)</f>
        <v>PEDRO ANDERSON NERI DE SOUZA - U465037</v>
      </c>
      <c r="W27" t="str">
        <f>VLOOKUP(pub?gid_1064752002_single_true_output_csv[[#This Row],[Column3]],UTDNOVEMBRO!B:N,13,FALSE)</f>
        <v>09/10/25</v>
      </c>
      <c r="X27" t="str">
        <f>VLOOKUP(pub?gid_1064752002_single_true_output_csv[[#This Row],[Column3]],UTDNOVEMBRO!B:O,14,FALSE)</f>
        <v>NTERCALAR POSTE MT 11/600 NO PONTO 01 CONFORME PROJETO.</v>
      </c>
      <c r="Y27" t="str">
        <f>VLOOKUP(pub?gid_1064752002_single_true_output_csv[[#This Row],[Column3]],UTDNOVEMBRO!B:P,15,FALSE)</f>
        <v>13/10/25</v>
      </c>
      <c r="Z27" t="str">
        <f>VLOOKUP(pub?gid_1064752002_single_true_output_csv[[#This Row],[Column3]],UTDNOVEMBRO!B:Q,15,FALSE)</f>
        <v>13/10/25</v>
      </c>
    </row>
    <row r="28" spans="1:26" x14ac:dyDescent="0.3">
      <c r="A28" t="s">
        <v>55</v>
      </c>
      <c r="B28" t="s">
        <v>21</v>
      </c>
      <c r="C28" t="s">
        <v>154</v>
      </c>
      <c r="D28" t="s">
        <v>155</v>
      </c>
      <c r="E28" t="s">
        <v>156</v>
      </c>
      <c r="F28" t="s">
        <v>35</v>
      </c>
      <c r="G28" t="s">
        <v>36</v>
      </c>
      <c r="H28" t="s">
        <v>76</v>
      </c>
      <c r="I28" t="s">
        <v>45</v>
      </c>
      <c r="J28" t="s">
        <v>45</v>
      </c>
      <c r="K28" t="s">
        <v>36</v>
      </c>
      <c r="L28" t="s">
        <v>1465</v>
      </c>
      <c r="M28" t="s">
        <v>75</v>
      </c>
      <c r="N28" t="s">
        <v>1465</v>
      </c>
      <c r="O28" t="s">
        <v>76</v>
      </c>
      <c r="P28">
        <v>0</v>
      </c>
      <c r="Q28" t="str">
        <f>VLOOKUP(pub?gid_1064752002_single_true_output_csv[[#This Row],[Column3]],UTDNOVEMBRO!B:AQ,42,FALSE)</f>
        <v>-11,476205</v>
      </c>
      <c r="R28" t="str">
        <f>VLOOKUP(pub?gid_1064752002_single_true_output_csv[[#This Row],[Column3]],UTDNOVEMBRO!B:AU,43,FALSE)</f>
        <v>-41,770260</v>
      </c>
      <c r="S28" t="str">
        <f>VLOOKUP(pub?gid_1064752002_single_true_output_csv[[#This Row],[Column3]],UTDNOVEMBRO!B:AC,28,FALSE)</f>
        <v>0</v>
      </c>
      <c r="T28" t="str">
        <f>VLOOKUP(pub?gid_1064752002_single_true_output_csv[[#This Row],[Column3]],UTDNOVEMBRO!B:C,2,FALSE)</f>
        <v>N/A</v>
      </c>
      <c r="U28" t="str">
        <f>VLOOKUP(pub?gid_1064752002_single_true_output_csv[[#This Row],[Column3]],UTDNOVEMBRO!B:D,3,FALSE)</f>
        <v>N/A</v>
      </c>
      <c r="V28" t="str">
        <f>VLOOKUP(pub?gid_1064752002_single_true_output_csv[[#This Row],[Column3]],UTDNOVEMBRO!B:K,10,FALSE)</f>
        <v xml:space="preserve">JHONATAN MARANHAO - U617542 </v>
      </c>
      <c r="W28" t="str">
        <f>VLOOKUP(pub?gid_1064752002_single_true_output_csv[[#This Row],[Column3]],UTDNOVEMBRO!B:N,13,FALSE)</f>
        <v>08/10/25</v>
      </c>
      <c r="X28" t="str">
        <f>VLOOKUP(pub?gid_1064752002_single_true_output_csv[[#This Row],[Column3]],UTDNOVEMBRO!B:O,14,FALSE)</f>
        <v>VERIFICAR: PROJETO DIVERGE DE CAMPO</v>
      </c>
      <c r="Y28" t="str">
        <f>VLOOKUP(pub?gid_1064752002_single_true_output_csv[[#This Row],[Column3]],UTDNOVEMBRO!B:P,15,FALSE)</f>
        <v>30/10/25</v>
      </c>
      <c r="Z28" t="str">
        <f>VLOOKUP(pub?gid_1064752002_single_true_output_csv[[#This Row],[Column3]],UTDNOVEMBRO!B:Q,15,FALSE)</f>
        <v>30/10/25</v>
      </c>
    </row>
    <row r="29" spans="1:26" x14ac:dyDescent="0.3">
      <c r="A29" t="s">
        <v>157</v>
      </c>
      <c r="B29" t="s">
        <v>116</v>
      </c>
      <c r="C29" t="s">
        <v>158</v>
      </c>
      <c r="D29" t="s">
        <v>159</v>
      </c>
      <c r="E29" t="s">
        <v>160</v>
      </c>
      <c r="F29" t="s">
        <v>35</v>
      </c>
      <c r="G29" t="s">
        <v>161</v>
      </c>
      <c r="H29" t="s">
        <v>87</v>
      </c>
      <c r="I29" t="s">
        <v>60</v>
      </c>
      <c r="J29" t="s">
        <v>150</v>
      </c>
      <c r="K29" t="s">
        <v>29</v>
      </c>
      <c r="L29" t="s">
        <v>1465</v>
      </c>
      <c r="M29" t="s">
        <v>81</v>
      </c>
      <c r="N29" t="s">
        <v>150</v>
      </c>
      <c r="O29" t="s">
        <v>1501</v>
      </c>
      <c r="P29">
        <v>19</v>
      </c>
      <c r="Q29" t="str">
        <f>VLOOKUP(pub?gid_1064752002_single_true_output_csv[[#This Row],[Column3]],UTDNOVEMBRO!B:AQ,42,FALSE)</f>
        <v>-11,011449</v>
      </c>
      <c r="R29" t="str">
        <f>VLOOKUP(pub?gid_1064752002_single_true_output_csv[[#This Row],[Column3]],UTDNOVEMBRO!B:AU,43,FALSE)</f>
        <v>-42,293051_x000D_</v>
      </c>
      <c r="S29" t="str">
        <f>VLOOKUP(pub?gid_1064752002_single_true_output_csv[[#This Row],[Column3]],UTDNOVEMBRO!B:AC,28,FALSE)</f>
        <v>1</v>
      </c>
      <c r="T29" t="str">
        <f>VLOOKUP(pub?gid_1064752002_single_true_output_csv[[#This Row],[Column3]],UTDNOVEMBRO!B:C,2,FALSE)</f>
        <v>B-1235763</v>
      </c>
      <c r="U29" t="str">
        <f>VLOOKUP(pub?gid_1064752002_single_true_output_csv[[#This Row],[Column3]],UTDNOVEMBRO!B:D,3,FALSE)</f>
        <v>B-1235765</v>
      </c>
      <c r="V29" t="str">
        <f>VLOOKUP(pub?gid_1064752002_single_true_output_csv[[#This Row],[Column3]],UTDNOVEMBRO!B:K,10,FALSE)</f>
        <v xml:space="preserve">JOSE EDUARDO GOMES DOS SANTOS LIMA - U468835 </v>
      </c>
      <c r="W29" t="str">
        <f>VLOOKUP(pub?gid_1064752002_single_true_output_csv[[#This Row],[Column3]],UTDNOVEMBRO!B:N,13,FALSE)</f>
        <v>23/10/25</v>
      </c>
      <c r="X29" t="str">
        <f>VLOOKUP(pub?gid_1064752002_single_true_output_csv[[#This Row],[Column3]],UTDNOVEMBRO!B:O,14,FALSE)</f>
        <v>ADF DE ACORDO PROJETO</v>
      </c>
      <c r="Y29" t="str">
        <f>VLOOKUP(pub?gid_1064752002_single_true_output_csv[[#This Row],[Column3]],UTDNOVEMBRO!B:P,15,FALSE)</f>
        <v>23/10/25</v>
      </c>
      <c r="Z29" t="str">
        <f>VLOOKUP(pub?gid_1064752002_single_true_output_csv[[#This Row],[Column3]],UTDNOVEMBRO!B:Q,15,FALSE)</f>
        <v>23/10/25</v>
      </c>
    </row>
    <row r="30" spans="1:26" x14ac:dyDescent="0.3">
      <c r="A30" t="s">
        <v>55</v>
      </c>
      <c r="B30" t="s">
        <v>21</v>
      </c>
      <c r="C30" t="s">
        <v>162</v>
      </c>
      <c r="D30" t="s">
        <v>163</v>
      </c>
      <c r="E30" t="s">
        <v>58</v>
      </c>
      <c r="F30" t="s">
        <v>35</v>
      </c>
      <c r="G30" t="s">
        <v>164</v>
      </c>
      <c r="H30" t="s">
        <v>126</v>
      </c>
      <c r="I30" t="s">
        <v>52</v>
      </c>
      <c r="J30" t="s">
        <v>150</v>
      </c>
      <c r="K30" t="s">
        <v>29</v>
      </c>
      <c r="L30" t="s">
        <v>1465</v>
      </c>
      <c r="M30" t="s">
        <v>38</v>
      </c>
      <c r="N30" t="s">
        <v>39</v>
      </c>
      <c r="O30" t="s">
        <v>219</v>
      </c>
      <c r="P30">
        <v>25</v>
      </c>
      <c r="Q30" t="str">
        <f>VLOOKUP(pub?gid_1064752002_single_true_output_csv[[#This Row],[Column3]],UTDNOVEMBRO!B:AQ,42,FALSE)</f>
        <v>-11,431598</v>
      </c>
      <c r="R30" t="str">
        <f>VLOOKUP(pub?gid_1064752002_single_true_output_csv[[#This Row],[Column3]],UTDNOVEMBRO!B:AU,43,FALSE)</f>
        <v>-41,602491</v>
      </c>
      <c r="S30" t="str">
        <f>VLOOKUP(pub?gid_1064752002_single_true_output_csv[[#This Row],[Column3]],UTDNOVEMBRO!B:AC,28,FALSE)</f>
        <v>2</v>
      </c>
      <c r="T30" t="str">
        <f>VLOOKUP(pub?gid_1064752002_single_true_output_csv[[#This Row],[Column3]],UTDNOVEMBRO!B:C,2,FALSE)</f>
        <v>N/A</v>
      </c>
      <c r="U30" t="str">
        <f>VLOOKUP(pub?gid_1064752002_single_true_output_csv[[#This Row],[Column3]],UTDNOVEMBRO!B:D,3,FALSE)</f>
        <v>N/A</v>
      </c>
      <c r="V30" t="str">
        <f>VLOOKUP(pub?gid_1064752002_single_true_output_csv[[#This Row],[Column3]],UTDNOVEMBRO!B:K,10,FALSE)</f>
        <v>JOSE ANTONIO SIMAS NETO - U349485</v>
      </c>
      <c r="W30" t="str">
        <f>VLOOKUP(pub?gid_1064752002_single_true_output_csv[[#This Row],[Column3]],UTDNOVEMBRO!B:N,13,FALSE)</f>
        <v>09/10/25</v>
      </c>
      <c r="X30" t="str">
        <f>VLOOKUP(pub?gid_1064752002_single_true_output_csv[[#This Row],[Column3]],UTDNOVEMBRO!B:O,14,FALSE)</f>
        <v>INTERCALAR POSTE MT 11/600 ENTRE OS POSTES E765100 E O E765101</v>
      </c>
      <c r="Y30" t="str">
        <f>VLOOKUP(pub?gid_1064752002_single_true_output_csv[[#This Row],[Column3]],UTDNOVEMBRO!B:P,15,FALSE)</f>
        <v>09/10/25</v>
      </c>
      <c r="Z30" t="str">
        <f>VLOOKUP(pub?gid_1064752002_single_true_output_csv[[#This Row],[Column3]],UTDNOVEMBRO!B:Q,15,FALSE)</f>
        <v>09/10/25</v>
      </c>
    </row>
    <row r="31" spans="1:26" x14ac:dyDescent="0.3">
      <c r="A31" t="s">
        <v>127</v>
      </c>
      <c r="B31" t="s">
        <v>31</v>
      </c>
      <c r="C31" t="s">
        <v>165</v>
      </c>
      <c r="D31" t="s">
        <v>166</v>
      </c>
      <c r="E31" t="s">
        <v>34</v>
      </c>
      <c r="F31" t="s">
        <v>35</v>
      </c>
      <c r="G31" t="s">
        <v>167</v>
      </c>
      <c r="H31" t="s">
        <v>168</v>
      </c>
      <c r="I31" t="s">
        <v>53</v>
      </c>
      <c r="J31" t="s">
        <v>91</v>
      </c>
      <c r="K31" t="s">
        <v>29</v>
      </c>
      <c r="L31" t="s">
        <v>1465</v>
      </c>
      <c r="M31" t="s">
        <v>38</v>
      </c>
      <c r="N31" t="s">
        <v>1465</v>
      </c>
      <c r="O31" t="s">
        <v>168</v>
      </c>
      <c r="P31">
        <v>8</v>
      </c>
      <c r="Q31" t="str">
        <f>VLOOKUP(pub?gid_1064752002_single_true_output_csv[[#This Row],[Column3]],UTDNOVEMBRO!B:AQ,42,FALSE)</f>
        <v>-11,908580</v>
      </c>
      <c r="R31" t="str">
        <f>VLOOKUP(pub?gid_1064752002_single_true_output_csv[[#This Row],[Column3]],UTDNOVEMBRO!B:AU,43,FALSE)</f>
        <v>-41,675359</v>
      </c>
      <c r="S31" t="str">
        <f>VLOOKUP(pub?gid_1064752002_single_true_output_csv[[#This Row],[Column3]],UTDNOVEMBRO!B:AC,28,FALSE)</f>
        <v>1</v>
      </c>
      <c r="T31" t="str">
        <f>VLOOKUP(pub?gid_1064752002_single_true_output_csv[[#This Row],[Column3]],UTDNOVEMBRO!B:C,2,FALSE)</f>
        <v/>
      </c>
      <c r="U31" t="str">
        <f>VLOOKUP(pub?gid_1064752002_single_true_output_csv[[#This Row],[Column3]],UTDNOVEMBRO!B:D,3,FALSE)</f>
        <v/>
      </c>
      <c r="V31" t="str">
        <f>VLOOKUP(pub?gid_1064752002_single_true_output_csv[[#This Row],[Column3]],UTDNOVEMBRO!B:K,10,FALSE)</f>
        <v>MANOEL MESSIAS ALENCAR - U359765</v>
      </c>
      <c r="W31" t="str">
        <f>VLOOKUP(pub?gid_1064752002_single_true_output_csv[[#This Row],[Column3]],UTDNOVEMBRO!B:N,13,FALSE)</f>
        <v>08/10/25</v>
      </c>
      <c r="X31" t="str">
        <f>VLOOKUP(pub?gid_1064752002_single_true_output_csv[[#This Row],[Column3]],UTDNOVEMBRO!B:O,14,FALSE)</f>
        <v>ALTERAR ESTRUTURA MT DE M3 PRA M4 NO PG DO TRAFO H35248.</v>
      </c>
      <c r="Y31" t="str">
        <f>VLOOKUP(pub?gid_1064752002_single_true_output_csv[[#This Row],[Column3]],UTDNOVEMBRO!B:P,15,FALSE)</f>
        <v>28/10/25</v>
      </c>
      <c r="Z31" t="str">
        <f>VLOOKUP(pub?gid_1064752002_single_true_output_csv[[#This Row],[Column3]],UTDNOVEMBRO!B:Q,15,FALSE)</f>
        <v>28/10/25</v>
      </c>
    </row>
    <row r="32" spans="1:26" x14ac:dyDescent="0.3">
      <c r="A32" t="s">
        <v>61</v>
      </c>
      <c r="B32" t="s">
        <v>31</v>
      </c>
      <c r="C32" t="s">
        <v>169</v>
      </c>
      <c r="D32" t="s">
        <v>170</v>
      </c>
      <c r="E32" t="s">
        <v>49</v>
      </c>
      <c r="F32" t="s">
        <v>171</v>
      </c>
      <c r="G32" t="s">
        <v>172</v>
      </c>
      <c r="H32" t="s">
        <v>168</v>
      </c>
      <c r="I32" t="s">
        <v>67</v>
      </c>
      <c r="J32" t="s">
        <v>73</v>
      </c>
      <c r="K32" t="s">
        <v>29</v>
      </c>
      <c r="L32" t="s">
        <v>1465</v>
      </c>
      <c r="M32" t="s">
        <v>81</v>
      </c>
      <c r="N32" t="s">
        <v>73</v>
      </c>
      <c r="O32" t="s">
        <v>168</v>
      </c>
      <c r="P32">
        <v>3</v>
      </c>
      <c r="Q32" t="str">
        <f>VLOOKUP(pub?gid_1064752002_single_true_output_csv[[#This Row],[Column3]],UTDNOVEMBRO!B:AQ,42,FALSE)</f>
        <v>-11,489303</v>
      </c>
      <c r="R32" t="str">
        <f>VLOOKUP(pub?gid_1064752002_single_true_output_csv[[#This Row],[Column3]],UTDNOVEMBRO!B:AU,43,FALSE)</f>
        <v>-42,273487</v>
      </c>
      <c r="S32" t="str">
        <f>VLOOKUP(pub?gid_1064752002_single_true_output_csv[[#This Row],[Column3]],UTDNOVEMBRO!B:AC,28,FALSE)</f>
        <v>0</v>
      </c>
      <c r="T32" t="str">
        <f>VLOOKUP(pub?gid_1064752002_single_true_output_csv[[#This Row],[Column3]],UTDNOVEMBRO!B:C,2,FALSE)</f>
        <v/>
      </c>
      <c r="U32" t="str">
        <f>VLOOKUP(pub?gid_1064752002_single_true_output_csv[[#This Row],[Column3]],UTDNOVEMBRO!B:D,3,FALSE)</f>
        <v/>
      </c>
      <c r="V32" t="str">
        <f>VLOOKUP(pub?gid_1064752002_single_true_output_csv[[#This Row],[Column3]],UTDNOVEMBRO!B:K,10,FALSE)</f>
        <v>ALINE LIMA SILVA - U468383</v>
      </c>
      <c r="W32" t="str">
        <f>VLOOKUP(pub?gid_1064752002_single_true_output_csv[[#This Row],[Column3]],UTDNOVEMBRO!B:N,13,FALSE)</f>
        <v>20/10/25</v>
      </c>
      <c r="X32" t="str">
        <f>VLOOKUP(pub?gid_1064752002_single_true_output_csv[[#This Row],[Column3]],UTDNOVEMBRO!B:O,14,FALSE)</f>
        <v>OBRA APITAR PARA CONSTRUÇÃO.
ADF SEGUE COMFORME PONTOS COLETADO.</v>
      </c>
      <c r="Y32" t="str">
        <f>VLOOKUP(pub?gid_1064752002_single_true_output_csv[[#This Row],[Column3]],UTDNOVEMBRO!B:P,15,FALSE)</f>
        <v>27/10/25</v>
      </c>
      <c r="Z32" t="str">
        <f>VLOOKUP(pub?gid_1064752002_single_true_output_csv[[#This Row],[Column3]],UTDNOVEMBRO!B:Q,15,FALSE)</f>
        <v>27/10/25</v>
      </c>
    </row>
    <row r="33" spans="1:26" x14ac:dyDescent="0.3">
      <c r="A33" t="s">
        <v>173</v>
      </c>
      <c r="B33" t="s">
        <v>116</v>
      </c>
      <c r="C33" t="s">
        <v>174</v>
      </c>
      <c r="D33" t="s">
        <v>175</v>
      </c>
      <c r="E33" t="s">
        <v>176</v>
      </c>
      <c r="F33" t="s">
        <v>35</v>
      </c>
      <c r="G33" t="s">
        <v>36</v>
      </c>
      <c r="H33" t="s">
        <v>76</v>
      </c>
      <c r="I33" t="s">
        <v>67</v>
      </c>
      <c r="J33" t="s">
        <v>67</v>
      </c>
      <c r="K33" t="s">
        <v>36</v>
      </c>
      <c r="L33" t="s">
        <v>1465</v>
      </c>
      <c r="M33" t="s">
        <v>75</v>
      </c>
      <c r="N33" t="s">
        <v>1465</v>
      </c>
      <c r="O33" t="s">
        <v>76</v>
      </c>
      <c r="P33">
        <v>0</v>
      </c>
      <c r="Q33" t="str">
        <f>VLOOKUP(pub?gid_1064752002_single_true_output_csv[[#This Row],[Column3]],UTDNOVEMBRO!B:AQ,42,FALSE)</f>
        <v>-11,355628</v>
      </c>
      <c r="R33" t="str">
        <f>VLOOKUP(pub?gid_1064752002_single_true_output_csv[[#This Row],[Column3]],UTDNOVEMBRO!B:AU,43,FALSE)</f>
        <v>-42,108336</v>
      </c>
      <c r="S33" t="str">
        <f>VLOOKUP(pub?gid_1064752002_single_true_output_csv[[#This Row],[Column3]],UTDNOVEMBRO!B:AC,28,FALSE)</f>
        <v>0</v>
      </c>
      <c r="T33" t="str">
        <f>VLOOKUP(pub?gid_1064752002_single_true_output_csv[[#This Row],[Column3]],UTDNOVEMBRO!B:C,2,FALSE)</f>
        <v>N/A</v>
      </c>
      <c r="U33" t="str">
        <f>VLOOKUP(pub?gid_1064752002_single_true_output_csv[[#This Row],[Column3]],UTDNOVEMBRO!B:D,3,FALSE)</f>
        <v>N/A</v>
      </c>
      <c r="V33" t="str">
        <f>VLOOKUP(pub?gid_1064752002_single_true_output_csv[[#This Row],[Column3]],UTDNOVEMBRO!B:K,10,FALSE)</f>
        <v>JARBAS LIMA VIEIRA - U348612</v>
      </c>
      <c r="W33" t="str">
        <f>VLOOKUP(pub?gid_1064752002_single_true_output_csv[[#This Row],[Column3]],UTDNOVEMBRO!B:N,13,FALSE)</f>
        <v>07/10/2025</v>
      </c>
      <c r="X33" t="str">
        <f>VLOOKUP(pub?gid_1064752002_single_true_output_csv[[#This Row],[Column3]],UTDNOVEMBRO!B:O,14,FALSE)</f>
        <v>SUBSTITUIR TRAFO CONFORME PROJETO.
INFORMAÇÕES DAS ESTRUTURAS ESTÃO NOS PONTOS.</v>
      </c>
      <c r="Y33" t="str">
        <f>VLOOKUP(pub?gid_1064752002_single_true_output_csv[[#This Row],[Column3]],UTDNOVEMBRO!B:P,15,FALSE)</f>
        <v>08/10/25</v>
      </c>
      <c r="Z33" t="str">
        <f>VLOOKUP(pub?gid_1064752002_single_true_output_csv[[#This Row],[Column3]],UTDNOVEMBRO!B:Q,15,FALSE)</f>
        <v>08/10/25</v>
      </c>
    </row>
    <row r="34" spans="1:26" x14ac:dyDescent="0.3">
      <c r="A34" t="s">
        <v>173</v>
      </c>
      <c r="B34" t="s">
        <v>116</v>
      </c>
      <c r="C34" t="s">
        <v>177</v>
      </c>
      <c r="D34" t="s">
        <v>178</v>
      </c>
      <c r="E34" t="s">
        <v>176</v>
      </c>
      <c r="F34" t="s">
        <v>35</v>
      </c>
      <c r="G34" t="s">
        <v>36</v>
      </c>
      <c r="H34" t="s">
        <v>107</v>
      </c>
      <c r="I34" t="s">
        <v>27</v>
      </c>
      <c r="J34" t="s">
        <v>60</v>
      </c>
      <c r="K34" t="s">
        <v>36</v>
      </c>
      <c r="L34" t="s">
        <v>1465</v>
      </c>
      <c r="M34" t="s">
        <v>1465</v>
      </c>
      <c r="N34" t="s">
        <v>1465</v>
      </c>
      <c r="O34" t="s">
        <v>107</v>
      </c>
      <c r="P34">
        <v>6</v>
      </c>
      <c r="Q34" t="str">
        <f>VLOOKUP(pub?gid_1064752002_single_true_output_csv[[#This Row],[Column3]],UTDNOVEMBRO!B:AQ,42,FALSE)</f>
        <v>-11,249115</v>
      </c>
      <c r="R34" t="str">
        <f>VLOOKUP(pub?gid_1064752002_single_true_output_csv[[#This Row],[Column3]],UTDNOVEMBRO!B:AU,43,FALSE)</f>
        <v>-42,164449</v>
      </c>
      <c r="S34" t="str">
        <f>VLOOKUP(pub?gid_1064752002_single_true_output_csv[[#This Row],[Column3]],UTDNOVEMBRO!B:AC,28,FALSE)</f>
        <v>2</v>
      </c>
      <c r="T34" t="str">
        <f>VLOOKUP(pub?gid_1064752002_single_true_output_csv[[#This Row],[Column3]],UTDNOVEMBRO!B:C,2,FALSE)</f>
        <v>N/A</v>
      </c>
      <c r="U34" t="str">
        <f>VLOOKUP(pub?gid_1064752002_single_true_output_csv[[#This Row],[Column3]],UTDNOVEMBRO!B:D,3,FALSE)</f>
        <v>N/A</v>
      </c>
      <c r="V34" t="str">
        <f>VLOOKUP(pub?gid_1064752002_single_true_output_csv[[#This Row],[Column3]],UTDNOVEMBRO!B:K,10,FALSE)</f>
        <v>JARBAS LIMA VIEIRA - U348612</v>
      </c>
      <c r="W34" t="str">
        <f>VLOOKUP(pub?gid_1064752002_single_true_output_csv[[#This Row],[Column3]],UTDNOVEMBRO!B:N,13,FALSE)</f>
        <v>07/10/2025</v>
      </c>
      <c r="X34" t="str">
        <f>VLOOKUP(pub?gid_1064752002_single_true_output_csv[[#This Row],[Column3]],UTDNOVEMBRO!B:O,14,FALSE)</f>
        <v xml:space="preserve">ALTERAR DERIVAÇÃO. </v>
      </c>
      <c r="Y34" t="str">
        <f>VLOOKUP(pub?gid_1064752002_single_true_output_csv[[#This Row],[Column3]],UTDNOVEMBRO!B:P,15,FALSE)</f>
        <v>08/10/25</v>
      </c>
      <c r="Z34" t="str">
        <f>VLOOKUP(pub?gid_1064752002_single_true_output_csv[[#This Row],[Column3]],UTDNOVEMBRO!B:Q,15,FALSE)</f>
        <v>08/10/25</v>
      </c>
    </row>
    <row r="35" spans="1:26" x14ac:dyDescent="0.3">
      <c r="A35" t="s">
        <v>30</v>
      </c>
      <c r="B35" t="s">
        <v>31</v>
      </c>
      <c r="C35" t="s">
        <v>179</v>
      </c>
      <c r="D35" t="s">
        <v>180</v>
      </c>
      <c r="E35" t="s">
        <v>34</v>
      </c>
      <c r="F35" t="s">
        <v>181</v>
      </c>
      <c r="G35" t="s">
        <v>1511</v>
      </c>
      <c r="H35" t="s">
        <v>182</v>
      </c>
      <c r="I35" t="s">
        <v>66</v>
      </c>
      <c r="J35" t="s">
        <v>73</v>
      </c>
      <c r="K35" t="s">
        <v>29</v>
      </c>
      <c r="L35" t="s">
        <v>1465</v>
      </c>
      <c r="M35" t="s">
        <v>75</v>
      </c>
      <c r="N35" t="s">
        <v>1465</v>
      </c>
      <c r="O35" t="s">
        <v>182</v>
      </c>
      <c r="P35">
        <v>3</v>
      </c>
      <c r="Q35" t="str">
        <f>VLOOKUP(pub?gid_1064752002_single_true_output_csv[[#This Row],[Column3]],UTDNOVEMBRO!B:AQ,42,FALSE)</f>
        <v>-11.701598</v>
      </c>
      <c r="R35" t="str">
        <f>VLOOKUP(pub?gid_1064752002_single_true_output_csv[[#This Row],[Column3]],UTDNOVEMBRO!B:AU,43,FALSE)</f>
        <v>-41.759803</v>
      </c>
      <c r="S35" t="str">
        <f>VLOOKUP(pub?gid_1064752002_single_true_output_csv[[#This Row],[Column3]],UTDNOVEMBRO!B:AC,28,FALSE)</f>
        <v>0</v>
      </c>
      <c r="T35" t="str">
        <f>VLOOKUP(pub?gid_1064752002_single_true_output_csv[[#This Row],[Column3]],UTDNOVEMBRO!B:C,2,FALSE)</f>
        <v/>
      </c>
      <c r="U35" t="str">
        <f>VLOOKUP(pub?gid_1064752002_single_true_output_csv[[#This Row],[Column3]],UTDNOVEMBRO!B:D,3,FALSE)</f>
        <v/>
      </c>
      <c r="V35" t="str">
        <f>VLOOKUP(pub?gid_1064752002_single_true_output_csv[[#This Row],[Column3]],UTDNOVEMBRO!B:K,10,FALSE)</f>
        <v>MANOEL MESSIAS ALENCAR - U359765</v>
      </c>
      <c r="W35" t="str">
        <f>VLOOKUP(pub?gid_1064752002_single_true_output_csv[[#This Row],[Column3]],UTDNOVEMBRO!B:N,13,FALSE)</f>
        <v>15/10/2025</v>
      </c>
      <c r="X35" t="str">
        <f>VLOOKUP(pub?gid_1064752002_single_true_output_csv[[#This Row],[Column3]],UTDNOVEMBRO!B:O,14,FALSE)</f>
        <v>MONTAR ESTRUTURA B3 NO PG B696749. EM CAMPO JA É N1, MONTAR ESTRUTURAS BECO. PA REDE VAI PASSAR EM FRENTE A LOTES DE CASAS E MUROS JA PRONTOS</v>
      </c>
      <c r="Y35" t="str">
        <f>VLOOKUP(pub?gid_1064752002_single_true_output_csv[[#This Row],[Column3]],UTDNOVEMBRO!B:P,15,FALSE)</f>
        <v>20/10/25</v>
      </c>
      <c r="Z35" t="str">
        <f>VLOOKUP(pub?gid_1064752002_single_true_output_csv[[#This Row],[Column3]],UTDNOVEMBRO!B:Q,15,FALSE)</f>
        <v>20/10/25</v>
      </c>
    </row>
    <row r="36" spans="1:26" x14ac:dyDescent="0.3">
      <c r="A36" t="s">
        <v>115</v>
      </c>
      <c r="B36" t="s">
        <v>116</v>
      </c>
      <c r="C36" t="s">
        <v>183</v>
      </c>
      <c r="D36" t="s">
        <v>184</v>
      </c>
      <c r="E36" t="s">
        <v>119</v>
      </c>
      <c r="F36" t="s">
        <v>35</v>
      </c>
      <c r="G36" t="s">
        <v>185</v>
      </c>
      <c r="H36" t="s">
        <v>186</v>
      </c>
      <c r="I36" t="s">
        <v>53</v>
      </c>
      <c r="J36" t="s">
        <v>91</v>
      </c>
      <c r="K36" t="s">
        <v>29</v>
      </c>
      <c r="L36" t="s">
        <v>1465</v>
      </c>
      <c r="M36" t="s">
        <v>38</v>
      </c>
      <c r="N36" t="s">
        <v>1538</v>
      </c>
      <c r="O36" t="s">
        <v>186</v>
      </c>
      <c r="P36">
        <v>18</v>
      </c>
      <c r="Q36" t="str">
        <f>VLOOKUP(pub?gid_1064752002_single_true_output_csv[[#This Row],[Column3]],UTDNOVEMBRO!B:AQ,42,FALSE)</f>
        <v>-11.079716</v>
      </c>
      <c r="R36" t="str">
        <f>VLOOKUP(pub?gid_1064752002_single_true_output_csv[[#This Row],[Column3]],UTDNOVEMBRO!B:AU,43,FALSE)</f>
        <v>-42.072856</v>
      </c>
      <c r="S36" t="str">
        <f>VLOOKUP(pub?gid_1064752002_single_true_output_csv[[#This Row],[Column3]],UTDNOVEMBRO!B:AC,28,FALSE)</f>
        <v>2</v>
      </c>
      <c r="T36" t="str">
        <f>VLOOKUP(pub?gid_1064752002_single_true_output_csv[[#This Row],[Column3]],UTDNOVEMBRO!B:C,2,FALSE)</f>
        <v>CRIAR</v>
      </c>
      <c r="U36" t="str">
        <f>VLOOKUP(pub?gid_1064752002_single_true_output_csv[[#This Row],[Column3]],UTDNOVEMBRO!B:D,3,FALSE)</f>
        <v>CRIAR</v>
      </c>
      <c r="V36" t="str">
        <f>VLOOKUP(pub?gid_1064752002_single_true_output_csv[[#This Row],[Column3]],UTDNOVEMBRO!B:K,10,FALSE)</f>
        <v>JARBAS LIMA VIEIRA - U348612</v>
      </c>
      <c r="W36" t="str">
        <f>VLOOKUP(pub?gid_1064752002_single_true_output_csv[[#This Row],[Column3]],UTDNOVEMBRO!B:N,13,FALSE)</f>
        <v>14/10/25</v>
      </c>
      <c r="X36" t="str">
        <f>VLOOKUP(pub?gid_1064752002_single_true_output_csv[[#This Row],[Column3]],UTDNOVEMBRO!B:O,14,FALSE)</f>
        <v>OBRA APITA PARA CONSTRUÇÃO CONFORME PROJETO</v>
      </c>
      <c r="Y36" t="str">
        <f>VLOOKUP(pub?gid_1064752002_single_true_output_csv[[#This Row],[Column3]],UTDNOVEMBRO!B:P,15,FALSE)</f>
        <v>15/10/25</v>
      </c>
      <c r="Z36" t="str">
        <f>VLOOKUP(pub?gid_1064752002_single_true_output_csv[[#This Row],[Column3]],UTDNOVEMBRO!B:Q,15,FALSE)</f>
        <v>15/10/25</v>
      </c>
    </row>
    <row r="37" spans="1:26" x14ac:dyDescent="0.3">
      <c r="A37" t="s">
        <v>61</v>
      </c>
      <c r="B37" t="s">
        <v>31</v>
      </c>
      <c r="C37" t="s">
        <v>187</v>
      </c>
      <c r="D37" t="s">
        <v>188</v>
      </c>
      <c r="E37" t="s">
        <v>34</v>
      </c>
      <c r="F37" t="s">
        <v>35</v>
      </c>
      <c r="G37" t="s">
        <v>1512</v>
      </c>
      <c r="H37" t="s">
        <v>146</v>
      </c>
      <c r="I37" t="s">
        <v>92</v>
      </c>
      <c r="J37" t="s">
        <v>189</v>
      </c>
      <c r="K37" t="s">
        <v>74</v>
      </c>
      <c r="L37" t="s">
        <v>1465</v>
      </c>
      <c r="M37" t="s">
        <v>81</v>
      </c>
      <c r="N37" t="s">
        <v>1465</v>
      </c>
      <c r="O37" t="s">
        <v>76</v>
      </c>
      <c r="P37">
        <v>0</v>
      </c>
      <c r="Q37" t="str">
        <f>VLOOKUP(pub?gid_1064752002_single_true_output_csv[[#This Row],[Column3]],UTDNOVEMBRO!B:AQ,42,FALSE)</f>
        <v>-11,805420</v>
      </c>
      <c r="R37" t="str">
        <f>VLOOKUP(pub?gid_1064752002_single_true_output_csv[[#This Row],[Column3]],UTDNOVEMBRO!B:AU,43,FALSE)</f>
        <v>-41,738076</v>
      </c>
      <c r="S37" t="str">
        <f>VLOOKUP(pub?gid_1064752002_single_true_output_csv[[#This Row],[Column3]],UTDNOVEMBRO!B:AC,28,FALSE)</f>
        <v/>
      </c>
      <c r="T37" t="str">
        <f>VLOOKUP(pub?gid_1064752002_single_true_output_csv[[#This Row],[Column3]],UTDNOVEMBRO!B:C,2,FALSE)</f>
        <v/>
      </c>
      <c r="U37" t="str">
        <f>VLOOKUP(pub?gid_1064752002_single_true_output_csv[[#This Row],[Column3]],UTDNOVEMBRO!B:D,3,FALSE)</f>
        <v/>
      </c>
      <c r="V37" t="str">
        <f>VLOOKUP(pub?gid_1064752002_single_true_output_csv[[#This Row],[Column3]],UTDNOVEMBRO!B:K,10,FALSE)</f>
        <v>MANOEL MESSIAS ALENCAR - U359765</v>
      </c>
      <c r="W37" t="str">
        <f>VLOOKUP(pub?gid_1064752002_single_true_output_csv[[#This Row],[Column3]],UTDNOVEMBRO!B:N,13,FALSE)</f>
        <v>22/10/25</v>
      </c>
      <c r="X37" t="str">
        <f>VLOOKUP(pub?gid_1064752002_single_true_output_csv[[#This Row],[Column3]],UTDNOVEMBRO!B:O,14,FALSE)</f>
        <v>ADICIONAR FASE. INTERCALAR POSTE 12/600 COM FLABIDT +U3 E N1 TRIF.</v>
      </c>
      <c r="Y37" t="str">
        <f>VLOOKUP(pub?gid_1064752002_single_true_output_csv[[#This Row],[Column3]],UTDNOVEMBRO!B:P,15,FALSE)</f>
        <v>24/10/25</v>
      </c>
      <c r="Z37" t="str">
        <f>VLOOKUP(pub?gid_1064752002_single_true_output_csv[[#This Row],[Column3]],UTDNOVEMBRO!B:Q,15,FALSE)</f>
        <v>24/10/25</v>
      </c>
    </row>
    <row r="38" spans="1:26" x14ac:dyDescent="0.3">
      <c r="A38" t="s">
        <v>142</v>
      </c>
      <c r="B38" t="s">
        <v>116</v>
      </c>
      <c r="C38" t="s">
        <v>190</v>
      </c>
      <c r="D38" t="s">
        <v>191</v>
      </c>
      <c r="E38" t="s">
        <v>145</v>
      </c>
      <c r="F38" t="s">
        <v>35</v>
      </c>
      <c r="G38" t="s">
        <v>192</v>
      </c>
      <c r="H38" t="s">
        <v>65</v>
      </c>
      <c r="I38" t="s">
        <v>66</v>
      </c>
      <c r="J38" t="s">
        <v>97</v>
      </c>
      <c r="K38" t="s">
        <v>29</v>
      </c>
      <c r="L38" t="s">
        <v>1465</v>
      </c>
      <c r="M38" t="s">
        <v>38</v>
      </c>
      <c r="N38" t="s">
        <v>1465</v>
      </c>
      <c r="O38" t="s">
        <v>51</v>
      </c>
      <c r="P38">
        <v>13</v>
      </c>
      <c r="Q38" t="str">
        <f>VLOOKUP(pub?gid_1064752002_single_true_output_csv[[#This Row],[Column3]],UTDNOVEMBRO!B:AQ,42,FALSE)</f>
        <v>-11,152108</v>
      </c>
      <c r="R38" t="str">
        <f>VLOOKUP(pub?gid_1064752002_single_true_output_csv[[#This Row],[Column3]],UTDNOVEMBRO!B:AU,43,FALSE)</f>
        <v xml:space="preserve">	-41,801523</v>
      </c>
      <c r="S38" t="str">
        <f>VLOOKUP(pub?gid_1064752002_single_true_output_csv[[#This Row],[Column3]],UTDNOVEMBRO!B:AC,28,FALSE)</f>
        <v>2</v>
      </c>
      <c r="T38" t="str">
        <f>VLOOKUP(pub?gid_1064752002_single_true_output_csv[[#This Row],[Column3]],UTDNOVEMBRO!B:C,2,FALSE)</f>
        <v>CRIAR</v>
      </c>
      <c r="U38" t="str">
        <f>VLOOKUP(pub?gid_1064752002_single_true_output_csv[[#This Row],[Column3]],UTDNOVEMBRO!B:D,3,FALSE)</f>
        <v>CRIAR</v>
      </c>
      <c r="V38" t="str">
        <f>VLOOKUP(pub?gid_1064752002_single_true_output_csv[[#This Row],[Column3]],UTDNOVEMBRO!B:K,10,FALSE)</f>
        <v>FLAVIO ALMEIDA DOS ANJOS - U468839</v>
      </c>
      <c r="W38" t="str">
        <f>VLOOKUP(pub?gid_1064752002_single_true_output_csv[[#This Row],[Column3]],UTDNOVEMBRO!B:N,13,FALSE)</f>
        <v>21/10/25</v>
      </c>
      <c r="X38" t="str">
        <f>VLOOKUP(pub?gid_1064752002_single_true_output_csv[[#This Row],[Column3]],UTDNOVEMBRO!B:O,14,FALSE)</f>
        <v xml:space="preserve">ENCABECAR REDE CONFORME PROJETO E SUBSTITUIR OS POSTES. </v>
      </c>
      <c r="Y38" t="str">
        <f>VLOOKUP(pub?gid_1064752002_single_true_output_csv[[#This Row],[Column3]],UTDNOVEMBRO!B:P,15,FALSE)</f>
        <v>30/10/25</v>
      </c>
      <c r="Z38" t="str">
        <f>VLOOKUP(pub?gid_1064752002_single_true_output_csv[[#This Row],[Column3]],UTDNOVEMBRO!B:Q,15,FALSE)</f>
        <v>30/10/25</v>
      </c>
    </row>
    <row r="39" spans="1:26" x14ac:dyDescent="0.3">
      <c r="A39" t="s">
        <v>142</v>
      </c>
      <c r="B39" t="s">
        <v>116</v>
      </c>
      <c r="C39" t="s">
        <v>194</v>
      </c>
      <c r="D39" t="s">
        <v>195</v>
      </c>
      <c r="E39" t="s">
        <v>145</v>
      </c>
      <c r="F39" t="s">
        <v>35</v>
      </c>
      <c r="G39" t="s">
        <v>36</v>
      </c>
      <c r="H39" t="s">
        <v>196</v>
      </c>
      <c r="I39" t="s">
        <v>27</v>
      </c>
      <c r="J39" t="s">
        <v>27</v>
      </c>
      <c r="K39" t="s">
        <v>36</v>
      </c>
      <c r="L39" t="s">
        <v>1465</v>
      </c>
      <c r="M39" t="s">
        <v>1465</v>
      </c>
      <c r="N39" t="s">
        <v>1465</v>
      </c>
      <c r="O39" t="s">
        <v>196</v>
      </c>
      <c r="P39">
        <v>5</v>
      </c>
      <c r="Q39" t="str">
        <f>VLOOKUP(pub?gid_1064752002_single_true_output_csv[[#This Row],[Column3]],UTDNOVEMBRO!B:AQ,42,FALSE)</f>
        <v>-11,164902</v>
      </c>
      <c r="R39" t="str">
        <f>VLOOKUP(pub?gid_1064752002_single_true_output_csv[[#This Row],[Column3]],UTDNOVEMBRO!B:AU,43,FALSE)</f>
        <v>-41,781158</v>
      </c>
      <c r="S39" t="str">
        <f>VLOOKUP(pub?gid_1064752002_single_true_output_csv[[#This Row],[Column3]],UTDNOVEMBRO!B:AC,28,FALSE)</f>
        <v>1</v>
      </c>
      <c r="T39" t="str">
        <f>VLOOKUP(pub?gid_1064752002_single_true_output_csv[[#This Row],[Column3]],UTDNOVEMBRO!B:C,2,FALSE)</f>
        <v>N/A</v>
      </c>
      <c r="U39" t="str">
        <f>VLOOKUP(pub?gid_1064752002_single_true_output_csv[[#This Row],[Column3]],UTDNOVEMBRO!B:D,3,FALSE)</f>
        <v>N/A</v>
      </c>
      <c r="V39" t="str">
        <f>VLOOKUP(pub?gid_1064752002_single_true_output_csv[[#This Row],[Column3]],UTDNOVEMBRO!B:K,10,FALSE)</f>
        <v>FLAVIO ALMEIDA DOS ANJOS - U468839</v>
      </c>
      <c r="W39" t="str">
        <f>VLOOKUP(pub?gid_1064752002_single_true_output_csv[[#This Row],[Column3]],UTDNOVEMBRO!B:N,13,FALSE)</f>
        <v>21/10/25</v>
      </c>
      <c r="X39" t="str">
        <f>VLOOKUP(pub?gid_1064752002_single_true_output_csv[[#This Row],[Column3]],UTDNOVEMBRO!B:O,14,FALSE)</f>
        <v>ACESSAR A OBRA PELO PONTO ENVIADO NA VISITA. É SO IR RETO E DEPOIS ENTRAR A DIREITA NA N1-3. AI É SO SEGUIR A REDE.</v>
      </c>
      <c r="Y39" t="str">
        <f>VLOOKUP(pub?gid_1064752002_single_true_output_csv[[#This Row],[Column3]],UTDNOVEMBRO!B:P,15,FALSE)</f>
        <v>21/10/25</v>
      </c>
      <c r="Z39" t="str">
        <f>VLOOKUP(pub?gid_1064752002_single_true_output_csv[[#This Row],[Column3]],UTDNOVEMBRO!B:Q,15,FALSE)</f>
        <v>21/10/25</v>
      </c>
    </row>
    <row r="40" spans="1:26" x14ac:dyDescent="0.3">
      <c r="A40" t="s">
        <v>173</v>
      </c>
      <c r="B40" t="s">
        <v>116</v>
      </c>
      <c r="C40" t="s">
        <v>197</v>
      </c>
      <c r="D40" t="s">
        <v>198</v>
      </c>
      <c r="E40" t="s">
        <v>125</v>
      </c>
      <c r="F40" t="s">
        <v>35</v>
      </c>
      <c r="G40" t="s">
        <v>36</v>
      </c>
      <c r="H40" t="s">
        <v>107</v>
      </c>
      <c r="I40" t="s">
        <v>53</v>
      </c>
      <c r="J40" t="s">
        <v>45</v>
      </c>
      <c r="K40" t="s">
        <v>36</v>
      </c>
      <c r="L40" t="s">
        <v>1465</v>
      </c>
      <c r="M40" t="s">
        <v>75</v>
      </c>
      <c r="N40" t="s">
        <v>1465</v>
      </c>
      <c r="O40" t="s">
        <v>107</v>
      </c>
      <c r="P40">
        <v>6</v>
      </c>
      <c r="Q40" t="str">
        <f>VLOOKUP(pub?gid_1064752002_single_true_output_csv[[#This Row],[Column3]],UTDNOVEMBRO!B:AQ,42,FALSE)</f>
        <v>-11.306555</v>
      </c>
      <c r="R40" t="str">
        <f>VLOOKUP(pub?gid_1064752002_single_true_output_csv[[#This Row],[Column3]],UTDNOVEMBRO!B:AU,43,FALSE)</f>
        <v>-42.02167</v>
      </c>
      <c r="S40" t="str">
        <f>VLOOKUP(pub?gid_1064752002_single_true_output_csv[[#This Row],[Column3]],UTDNOVEMBRO!B:AC,28,FALSE)</f>
        <v>1</v>
      </c>
      <c r="T40" t="str">
        <f>VLOOKUP(pub?gid_1064752002_single_true_output_csv[[#This Row],[Column3]],UTDNOVEMBRO!B:C,2,FALSE)</f>
        <v>N/A</v>
      </c>
      <c r="U40" t="str">
        <f>VLOOKUP(pub?gid_1064752002_single_true_output_csv[[#This Row],[Column3]],UTDNOVEMBRO!B:D,3,FALSE)</f>
        <v>N/A</v>
      </c>
      <c r="V40" t="str">
        <f>VLOOKUP(pub?gid_1064752002_single_true_output_csv[[#This Row],[Column3]],UTDNOVEMBRO!B:K,10,FALSE)</f>
        <v>JARBAS LIMA VIEIRA - U348612</v>
      </c>
      <c r="W40" t="str">
        <f>VLOOKUP(pub?gid_1064752002_single_true_output_csv[[#This Row],[Column3]],UTDNOVEMBRO!B:N,13,FALSE)</f>
        <v>14/10/25</v>
      </c>
      <c r="X40" t="str">
        <f>VLOOKUP(pub?gid_1064752002_single_true_output_csv[[#This Row],[Column3]],UTDNOVEMBRO!B:O,14,FALSE)</f>
        <v>OBRA APITA PARA CONSTRUÇÃO CONFORME PROJETO</v>
      </c>
      <c r="Y40" t="str">
        <f>VLOOKUP(pub?gid_1064752002_single_true_output_csv[[#This Row],[Column3]],UTDNOVEMBRO!B:P,15,FALSE)</f>
        <v>20/10/25</v>
      </c>
      <c r="Z40" t="str">
        <f>VLOOKUP(pub?gid_1064752002_single_true_output_csv[[#This Row],[Column3]],UTDNOVEMBRO!B:Q,15,FALSE)</f>
        <v>20/10/25</v>
      </c>
    </row>
    <row r="41" spans="1:26" x14ac:dyDescent="0.3">
      <c r="A41" t="s">
        <v>30</v>
      </c>
      <c r="B41" t="s">
        <v>31</v>
      </c>
      <c r="C41" t="s">
        <v>199</v>
      </c>
      <c r="D41" t="s">
        <v>200</v>
      </c>
      <c r="E41" t="s">
        <v>137</v>
      </c>
      <c r="F41" t="s">
        <v>35</v>
      </c>
      <c r="G41" t="s">
        <v>201</v>
      </c>
      <c r="H41" t="s">
        <v>87</v>
      </c>
      <c r="I41" t="s">
        <v>193</v>
      </c>
      <c r="J41" t="s">
        <v>202</v>
      </c>
      <c r="K41" t="s">
        <v>29</v>
      </c>
      <c r="L41" t="s">
        <v>1465</v>
      </c>
      <c r="M41" t="s">
        <v>81</v>
      </c>
      <c r="N41" t="s">
        <v>1465</v>
      </c>
      <c r="O41" t="s">
        <v>46</v>
      </c>
      <c r="P41">
        <v>3</v>
      </c>
      <c r="Q41" t="str">
        <f>VLOOKUP(pub?gid_1064752002_single_true_output_csv[[#This Row],[Column3]],UTDNOVEMBRO!B:AQ,42,FALSE)</f>
        <v>-11,602628</v>
      </c>
      <c r="R41" t="str">
        <f>VLOOKUP(pub?gid_1064752002_single_true_output_csv[[#This Row],[Column3]],UTDNOVEMBRO!B:AU,43,FALSE)</f>
        <v>-41,809423</v>
      </c>
      <c r="S41" t="str">
        <f>VLOOKUP(pub?gid_1064752002_single_true_output_csv[[#This Row],[Column3]],UTDNOVEMBRO!B:AC,28,FALSE)</f>
        <v>1</v>
      </c>
      <c r="T41" t="str">
        <f>VLOOKUP(pub?gid_1064752002_single_true_output_csv[[#This Row],[Column3]],UTDNOVEMBRO!B:C,2,FALSE)</f>
        <v/>
      </c>
      <c r="U41" t="str">
        <f>VLOOKUP(pub?gid_1064752002_single_true_output_csv[[#This Row],[Column3]],UTDNOVEMBRO!B:D,3,FALSE)</f>
        <v/>
      </c>
      <c r="V41" t="str">
        <f>VLOOKUP(pub?gid_1064752002_single_true_output_csv[[#This Row],[Column3]],UTDNOVEMBRO!B:K,10,FALSE)</f>
        <v>ALINE LIMA SILVA - U468383</v>
      </c>
      <c r="W41" t="str">
        <f>VLOOKUP(pub?gid_1064752002_single_true_output_csv[[#This Row],[Column3]],UTDNOVEMBRO!B:N,13,FALSE)</f>
        <v>16/10/25</v>
      </c>
      <c r="X41" t="str">
        <f>VLOOKUP(pub?gid_1064752002_single_true_output_csv[[#This Row],[Column3]],UTDNOVEMBRO!B:O,14,FALSE)</f>
        <v>OBRA APITAR PARA CONSTRUÇÃO CONFORME PROJETO.
8VÃO DE ADF, DE N3 PARA N4. INSTALA UM GLV,</v>
      </c>
      <c r="Y41" t="str">
        <f>VLOOKUP(pub?gid_1064752002_single_true_output_csv[[#This Row],[Column3]],UTDNOVEMBRO!B:P,15,FALSE)</f>
        <v>20/10/25</v>
      </c>
      <c r="Z41" t="str">
        <f>VLOOKUP(pub?gid_1064752002_single_true_output_csv[[#This Row],[Column3]],UTDNOVEMBRO!B:Q,15,FALSE)</f>
        <v>20/10/25</v>
      </c>
    </row>
    <row r="42" spans="1:26" x14ac:dyDescent="0.3">
      <c r="A42" t="s">
        <v>142</v>
      </c>
      <c r="B42" t="s">
        <v>116</v>
      </c>
      <c r="C42" t="s">
        <v>203</v>
      </c>
      <c r="D42" t="s">
        <v>204</v>
      </c>
      <c r="E42" t="s">
        <v>145</v>
      </c>
      <c r="F42" t="s">
        <v>35</v>
      </c>
      <c r="G42" t="s">
        <v>36</v>
      </c>
      <c r="H42" t="s">
        <v>182</v>
      </c>
      <c r="I42" t="s">
        <v>53</v>
      </c>
      <c r="J42" t="s">
        <v>1506</v>
      </c>
      <c r="K42" t="s">
        <v>36</v>
      </c>
      <c r="L42" t="s">
        <v>1465</v>
      </c>
      <c r="M42" t="s">
        <v>38</v>
      </c>
      <c r="N42" t="s">
        <v>39</v>
      </c>
      <c r="O42" t="s">
        <v>186</v>
      </c>
      <c r="P42">
        <v>11</v>
      </c>
      <c r="Q42" t="str">
        <f>VLOOKUP(pub?gid_1064752002_single_true_output_csv[[#This Row],[Column3]],UTDNOVEMBRO!B:AQ,42,FALSE)</f>
        <v>-11,157695</v>
      </c>
      <c r="R42" t="str">
        <f>VLOOKUP(pub?gid_1064752002_single_true_output_csv[[#This Row],[Column3]],UTDNOVEMBRO!B:AU,43,FALSE)</f>
        <v xml:space="preserve">	-41,720149</v>
      </c>
      <c r="S42" t="str">
        <f>VLOOKUP(pub?gid_1064752002_single_true_output_csv[[#This Row],[Column3]],UTDNOVEMBRO!B:AC,28,FALSE)</f>
        <v>1</v>
      </c>
      <c r="T42" t="str">
        <f>VLOOKUP(pub?gid_1064752002_single_true_output_csv[[#This Row],[Column3]],UTDNOVEMBRO!B:C,2,FALSE)</f>
        <v>N/A</v>
      </c>
      <c r="U42" t="str">
        <f>VLOOKUP(pub?gid_1064752002_single_true_output_csv[[#This Row],[Column3]],UTDNOVEMBRO!B:D,3,FALSE)</f>
        <v>N/A</v>
      </c>
      <c r="V42" t="str">
        <f>VLOOKUP(pub?gid_1064752002_single_true_output_csv[[#This Row],[Column3]],UTDNOVEMBRO!B:K,10,FALSE)</f>
        <v>FLAVIO ALMEIDA DOS ANJOS - U468839</v>
      </c>
      <c r="W42" t="str">
        <f>VLOOKUP(pub?gid_1064752002_single_true_output_csv[[#This Row],[Column3]],UTDNOVEMBRO!B:N,13,FALSE)</f>
        <v>21/10/25</v>
      </c>
      <c r="X42" t="str">
        <f>VLOOKUP(pub?gid_1064752002_single_true_output_csv[[#This Row],[Column3]],UTDNOVEMBRO!B:O,14,FALSE)</f>
        <v>INTERCALAR POSTE  11/600 COM ESTRUTURA MT N1-3 COM CHAVE. ENTRE OS POSTES Q111957 E O Q111958.</v>
      </c>
      <c r="Y42" t="str">
        <f>VLOOKUP(pub?gid_1064752002_single_true_output_csv[[#This Row],[Column3]],UTDNOVEMBRO!B:P,15,FALSE)</f>
        <v>27/10/25</v>
      </c>
      <c r="Z42" t="str">
        <f>VLOOKUP(pub?gid_1064752002_single_true_output_csv[[#This Row],[Column3]],UTDNOVEMBRO!B:Q,15,FALSE)</f>
        <v>27/10/25</v>
      </c>
    </row>
    <row r="43" spans="1:26" x14ac:dyDescent="0.3">
      <c r="A43" t="s">
        <v>205</v>
      </c>
      <c r="B43" t="s">
        <v>116</v>
      </c>
      <c r="C43" t="s">
        <v>206</v>
      </c>
      <c r="D43" t="s">
        <v>207</v>
      </c>
      <c r="E43" t="s">
        <v>208</v>
      </c>
      <c r="F43" t="s">
        <v>50</v>
      </c>
      <c r="G43" t="s">
        <v>1536</v>
      </c>
      <c r="H43" t="s">
        <v>141</v>
      </c>
      <c r="I43" t="s">
        <v>66</v>
      </c>
      <c r="J43" t="s">
        <v>28</v>
      </c>
      <c r="K43" t="s">
        <v>29</v>
      </c>
      <c r="L43" t="s">
        <v>1505</v>
      </c>
      <c r="M43" t="s">
        <v>38</v>
      </c>
      <c r="N43" t="s">
        <v>1465</v>
      </c>
      <c r="O43" t="s">
        <v>46</v>
      </c>
      <c r="P43">
        <v>0</v>
      </c>
      <c r="Q43" t="str">
        <f>VLOOKUP(pub?gid_1064752002_single_true_output_csv[[#This Row],[Column3]],UTDNOVEMBRO!B:AQ,42,FALSE)</f>
        <v>-10,831900</v>
      </c>
      <c r="R43" t="str">
        <f>VLOOKUP(pub?gid_1064752002_single_true_output_csv[[#This Row],[Column3]],UTDNOVEMBRO!B:AU,43,FALSE)</f>
        <v>-42,539303</v>
      </c>
      <c r="S43" t="str">
        <f>VLOOKUP(pub?gid_1064752002_single_true_output_csv[[#This Row],[Column3]],UTDNOVEMBRO!B:AC,28,FALSE)</f>
        <v/>
      </c>
      <c r="T43" t="str">
        <f>VLOOKUP(pub?gid_1064752002_single_true_output_csv[[#This Row],[Column3]],UTDNOVEMBRO!B:C,2,FALSE)</f>
        <v/>
      </c>
      <c r="U43" t="str">
        <f>VLOOKUP(pub?gid_1064752002_single_true_output_csv[[#This Row],[Column3]],UTDNOVEMBRO!B:D,3,FALSE)</f>
        <v/>
      </c>
      <c r="V43" t="str">
        <f>VLOOKUP(pub?gid_1064752002_single_true_output_csv[[#This Row],[Column3]],UTDNOVEMBRO!B:K,10,FALSE)</f>
        <v xml:space="preserve">JOSE EDUARDO GOMES DOS SANTOS LIMA - U468835 </v>
      </c>
      <c r="W43" t="str">
        <f>VLOOKUP(pub?gid_1064752002_single_true_output_csv[[#This Row],[Column3]],UTDNOVEMBRO!B:N,13,FALSE)</f>
        <v>28/10/25</v>
      </c>
      <c r="X43" t="str">
        <f>VLOOKUP(pub?gid_1064752002_single_true_output_csv[[#This Row],[Column3]],UTDNOVEMBRO!B:O,14,FALSE)</f>
        <v>OBRA APITA PARA CONSTRUÇÃO,</v>
      </c>
      <c r="Y43" t="str">
        <f>VLOOKUP(pub?gid_1064752002_single_true_output_csv[[#This Row],[Column3]],UTDNOVEMBRO!B:P,15,FALSE)</f>
        <v>29/10/25</v>
      </c>
      <c r="Z43" t="str">
        <f>VLOOKUP(pub?gid_1064752002_single_true_output_csv[[#This Row],[Column3]],UTDNOVEMBRO!B:Q,15,FALSE)</f>
        <v>29/10/25</v>
      </c>
    </row>
    <row r="44" spans="1:26" x14ac:dyDescent="0.3">
      <c r="A44" t="s">
        <v>127</v>
      </c>
      <c r="B44" t="s">
        <v>31</v>
      </c>
      <c r="C44" t="s">
        <v>209</v>
      </c>
      <c r="D44" t="s">
        <v>210</v>
      </c>
      <c r="E44" t="s">
        <v>211</v>
      </c>
      <c r="F44" t="s">
        <v>50</v>
      </c>
      <c r="G44" t="s">
        <v>36</v>
      </c>
      <c r="H44" t="s">
        <v>54</v>
      </c>
      <c r="I44" t="s">
        <v>27</v>
      </c>
      <c r="J44" t="s">
        <v>60</v>
      </c>
      <c r="K44" t="s">
        <v>36</v>
      </c>
      <c r="L44" t="s">
        <v>1465</v>
      </c>
      <c r="M44" t="s">
        <v>1465</v>
      </c>
      <c r="N44" t="s">
        <v>1465</v>
      </c>
      <c r="O44" t="s">
        <v>54</v>
      </c>
      <c r="P44">
        <v>4</v>
      </c>
      <c r="Q44" t="str">
        <f>VLOOKUP(pub?gid_1064752002_single_true_output_csv[[#This Row],[Column3]],UTDNOVEMBRO!B:AQ,42,FALSE)</f>
        <v>-11.761734</v>
      </c>
      <c r="R44" t="str">
        <f>VLOOKUP(pub?gid_1064752002_single_true_output_csv[[#This Row],[Column3]],UTDNOVEMBRO!B:AU,43,FALSE)</f>
        <v>-41.900450</v>
      </c>
      <c r="S44" t="str">
        <f>VLOOKUP(pub?gid_1064752002_single_true_output_csv[[#This Row],[Column3]],UTDNOVEMBRO!B:AC,28,FALSE)</f>
        <v>1</v>
      </c>
      <c r="T44" t="str">
        <f>VLOOKUP(pub?gid_1064752002_single_true_output_csv[[#This Row],[Column3]],UTDNOVEMBRO!B:C,2,FALSE)</f>
        <v>N/A</v>
      </c>
      <c r="U44" t="str">
        <f>VLOOKUP(pub?gid_1064752002_single_true_output_csv[[#This Row],[Column3]],UTDNOVEMBRO!B:D,3,FALSE)</f>
        <v>N/A</v>
      </c>
      <c r="V44" t="str">
        <f>VLOOKUP(pub?gid_1064752002_single_true_output_csv[[#This Row],[Column3]],UTDNOVEMBRO!B:K,10,FALSE)</f>
        <v>ALINE LIMA SILVA - U468383</v>
      </c>
      <c r="W44" t="str">
        <f>VLOOKUP(pub?gid_1064752002_single_true_output_csv[[#This Row],[Column3]],UTDNOVEMBRO!B:N,13,FALSE)</f>
        <v>28/10/25</v>
      </c>
      <c r="X44" t="str">
        <f>VLOOKUP(pub?gid_1064752002_single_true_output_csv[[#This Row],[Column3]],UTDNOVEMBRO!B:O,14,FALSE)</f>
        <v>OBRA APITA PARA CONSTRUÇÃO DE ACORDO PROJETO</v>
      </c>
      <c r="Y44" t="str">
        <f>VLOOKUP(pub?gid_1064752002_single_true_output_csv[[#This Row],[Column3]],UTDNOVEMBRO!B:P,15,FALSE)</f>
        <v>29/10/25</v>
      </c>
      <c r="Z44" t="str">
        <f>VLOOKUP(pub?gid_1064752002_single_true_output_csv[[#This Row],[Column3]],UTDNOVEMBRO!B:Q,15,FALSE)</f>
        <v>29/10/25</v>
      </c>
    </row>
    <row r="45" spans="1:26" x14ac:dyDescent="0.3">
      <c r="A45" t="s">
        <v>55</v>
      </c>
      <c r="B45" t="s">
        <v>21</v>
      </c>
      <c r="C45" t="s">
        <v>212</v>
      </c>
      <c r="D45" t="s">
        <v>213</v>
      </c>
      <c r="E45" t="s">
        <v>214</v>
      </c>
      <c r="F45" t="s">
        <v>50</v>
      </c>
      <c r="G45" t="s">
        <v>1465</v>
      </c>
      <c r="H45" t="s">
        <v>215</v>
      </c>
      <c r="I45" t="s">
        <v>73</v>
      </c>
      <c r="J45" t="s">
        <v>28</v>
      </c>
      <c r="K45" t="s">
        <v>74</v>
      </c>
      <c r="L45" t="s">
        <v>1465</v>
      </c>
      <c r="M45" t="s">
        <v>38</v>
      </c>
      <c r="N45" t="s">
        <v>1465</v>
      </c>
      <c r="O45" t="s">
        <v>76</v>
      </c>
      <c r="P45">
        <v>0</v>
      </c>
      <c r="Q45" t="str">
        <f>VLOOKUP(pub?gid_1064752002_single_true_output_csv[[#This Row],[Column3]],UTDNOVEMBRO!B:AQ,42,FALSE)</f>
        <v>-11.140086</v>
      </c>
      <c r="R45" t="str">
        <f>VLOOKUP(pub?gid_1064752002_single_true_output_csv[[#This Row],[Column3]],UTDNOVEMBRO!B:AU,43,FALSE)</f>
        <v>-41.966723</v>
      </c>
      <c r="S45" t="str">
        <f>VLOOKUP(pub?gid_1064752002_single_true_output_csv[[#This Row],[Column3]],UTDNOVEMBRO!B:AC,28,FALSE)</f>
        <v>14</v>
      </c>
      <c r="T45" t="str">
        <f>VLOOKUP(pub?gid_1064752002_single_true_output_csv[[#This Row],[Column3]],UTDNOVEMBRO!B:C,2,FALSE)</f>
        <v>X-1052872</v>
      </c>
      <c r="U45" t="str">
        <f>VLOOKUP(pub?gid_1064752002_single_true_output_csv[[#This Row],[Column3]],UTDNOVEMBRO!B:D,3,FALSE)</f>
        <v>X-1053459</v>
      </c>
      <c r="V45" t="str">
        <f>VLOOKUP(pub?gid_1064752002_single_true_output_csv[[#This Row],[Column3]],UTDNOVEMBRO!B:K,10,FALSE)</f>
        <v>JARBAS LIMA VIEIRA - U348612</v>
      </c>
      <c r="W45" t="str">
        <f>VLOOKUP(pub?gid_1064752002_single_true_output_csv[[#This Row],[Column3]],UTDNOVEMBRO!B:N,13,FALSE)</f>
        <v>04/11/25</v>
      </c>
      <c r="X45" t="str">
        <f>VLOOKUP(pub?gid_1064752002_single_true_output_csv[[#This Row],[Column3]],UTDNOVEMBRO!B:O,14,FALSE)</f>
        <v>INTERCALAR POSTE 11600 CONFORME PROJETO.</v>
      </c>
      <c r="Y45" t="str">
        <f>VLOOKUP(pub?gid_1064752002_single_true_output_csv[[#This Row],[Column3]],UTDNOVEMBRO!B:P,15,FALSE)</f>
        <v>05/11/25</v>
      </c>
      <c r="Z45" t="str">
        <f>VLOOKUP(pub?gid_1064752002_single_true_output_csv[[#This Row],[Column3]],UTDNOVEMBRO!B:Q,15,FALSE)</f>
        <v>05/11/25</v>
      </c>
    </row>
    <row r="46" spans="1:26" x14ac:dyDescent="0.3">
      <c r="A46" t="s">
        <v>173</v>
      </c>
      <c r="B46" t="s">
        <v>116</v>
      </c>
      <c r="C46" t="s">
        <v>216</v>
      </c>
      <c r="D46" t="s">
        <v>217</v>
      </c>
      <c r="E46" t="s">
        <v>156</v>
      </c>
      <c r="F46" t="s">
        <v>35</v>
      </c>
      <c r="G46" t="s">
        <v>218</v>
      </c>
      <c r="H46" t="s">
        <v>219</v>
      </c>
      <c r="I46" t="s">
        <v>193</v>
      </c>
      <c r="J46" t="s">
        <v>28</v>
      </c>
      <c r="K46" t="s">
        <v>29</v>
      </c>
      <c r="L46" t="s">
        <v>1505</v>
      </c>
      <c r="M46" t="s">
        <v>38</v>
      </c>
      <c r="N46" t="s">
        <v>1465</v>
      </c>
      <c r="O46" t="s">
        <v>126</v>
      </c>
      <c r="P46">
        <v>0</v>
      </c>
      <c r="Q46" t="str">
        <f>VLOOKUP(pub?gid_1064752002_single_true_output_csv[[#This Row],[Column3]],UTDNOVEMBRO!B:AQ,42,FALSE)</f>
        <v>-11,425907</v>
      </c>
      <c r="R46" t="str">
        <f>VLOOKUP(pub?gid_1064752002_single_true_output_csv[[#This Row],[Column3]],UTDNOVEMBRO!B:AU,43,FALSE)</f>
        <v>-41,786496</v>
      </c>
      <c r="S46" t="str">
        <f>VLOOKUP(pub?gid_1064752002_single_true_output_csv[[#This Row],[Column3]],UTDNOVEMBRO!B:AC,28,FALSE)</f>
        <v>2</v>
      </c>
      <c r="T46" t="str">
        <f>VLOOKUP(pub?gid_1064752002_single_true_output_csv[[#This Row],[Column3]],UTDNOVEMBRO!B:C,2,FALSE)</f>
        <v/>
      </c>
      <c r="U46" t="str">
        <f>VLOOKUP(pub?gid_1064752002_single_true_output_csv[[#This Row],[Column3]],UTDNOVEMBRO!B:D,3,FALSE)</f>
        <v/>
      </c>
      <c r="V46" t="str">
        <f>VLOOKUP(pub?gid_1064752002_single_true_output_csv[[#This Row],[Column3]],UTDNOVEMBRO!B:K,10,FALSE)</f>
        <v xml:space="preserve">JHONATAN MARANHAO - U617542 </v>
      </c>
      <c r="W46" t="str">
        <f>VLOOKUP(pub?gid_1064752002_single_true_output_csv[[#This Row],[Column3]],UTDNOVEMBRO!B:N,13,FALSE)</f>
        <v>04/11/25</v>
      </c>
      <c r="X46" t="str">
        <f>VLOOKUP(pub?gid_1064752002_single_true_output_csv[[#This Row],[Column3]],UTDNOVEMBRO!B:O,14,FALSE)</f>
        <v>ENCABEÇAR REDE CONFORME PROJETO.</v>
      </c>
      <c r="Y46" t="str">
        <f>VLOOKUP(pub?gid_1064752002_single_true_output_csv[[#This Row],[Column3]],UTDNOVEMBRO!B:P,15,FALSE)</f>
        <v>04/11/25</v>
      </c>
      <c r="Z46" t="str">
        <f>VLOOKUP(pub?gid_1064752002_single_true_output_csv[[#This Row],[Column3]],UTDNOVEMBRO!B:Q,15,FALSE)</f>
        <v>04/11/25</v>
      </c>
    </row>
    <row r="47" spans="1:26" x14ac:dyDescent="0.3">
      <c r="A47" t="s">
        <v>68</v>
      </c>
      <c r="B47" t="s">
        <v>21</v>
      </c>
      <c r="C47" t="s">
        <v>220</v>
      </c>
      <c r="D47" t="s">
        <v>221</v>
      </c>
      <c r="E47" t="s">
        <v>100</v>
      </c>
      <c r="F47" t="s">
        <v>35</v>
      </c>
      <c r="G47" t="s">
        <v>222</v>
      </c>
      <c r="H47" t="s">
        <v>37</v>
      </c>
      <c r="I47" t="s">
        <v>1465</v>
      </c>
      <c r="J47" t="s">
        <v>1465</v>
      </c>
      <c r="K47" t="s">
        <v>1513</v>
      </c>
      <c r="L47" t="s">
        <v>1465</v>
      </c>
      <c r="M47" t="s">
        <v>1465</v>
      </c>
      <c r="N47" t="s">
        <v>1465</v>
      </c>
      <c r="O47" t="s">
        <v>76</v>
      </c>
      <c r="P47">
        <v>0</v>
      </c>
      <c r="Q47" t="str">
        <f>VLOOKUP(pub?gid_1064752002_single_true_output_csv[[#This Row],[Column3]],UTDNOVEMBRO!B:AQ,42,FALSE)</f>
        <v>-11,716316</v>
      </c>
      <c r="R47" t="str">
        <f>VLOOKUP(pub?gid_1064752002_single_true_output_csv[[#This Row],[Column3]],UTDNOVEMBRO!B:AU,43,FALSE)</f>
        <v>-41,400588</v>
      </c>
      <c r="S47" t="str">
        <f>VLOOKUP(pub?gid_1064752002_single_true_output_csv[[#This Row],[Column3]],UTDNOVEMBRO!B:AC,28,FALSE)</f>
        <v/>
      </c>
      <c r="T47" t="str">
        <f>VLOOKUP(pub?gid_1064752002_single_true_output_csv[[#This Row],[Column3]],UTDNOVEMBRO!B:C,2,FALSE)</f>
        <v/>
      </c>
      <c r="U47" t="str">
        <f>VLOOKUP(pub?gid_1064752002_single_true_output_csv[[#This Row],[Column3]],UTDNOVEMBRO!B:D,3,FALSE)</f>
        <v/>
      </c>
      <c r="V47" t="str">
        <f>VLOOKUP(pub?gid_1064752002_single_true_output_csv[[#This Row],[Column3]],UTDNOVEMBRO!B:K,10,FALSE)</f>
        <v>MANOEL MESSIAS ALENCAR - U359765</v>
      </c>
      <c r="W47" t="str">
        <f>VLOOKUP(pub?gid_1064752002_single_true_output_csv[[#This Row],[Column3]],UTDNOVEMBRO!B:N,13,FALSE)</f>
        <v>REVISITAR</v>
      </c>
      <c r="X47" t="str">
        <f>VLOOKUP(pub?gid_1064752002_single_true_output_csv[[#This Row],[Column3]],UTDNOVEMBRO!B:O,14,FALSE)</f>
        <v>NOTA: O PONTO DE ENTREGA E DENTRO DA SUBESTAÇÃO DA CHESF._x000D_
TEM QUE AJENDAR A VISITA</v>
      </c>
      <c r="Y47" t="str">
        <f>VLOOKUP(pub?gid_1064752002_single_true_output_csv[[#This Row],[Column3]],UTDNOVEMBRO!B:P,15,FALSE)</f>
        <v>13/11/25</v>
      </c>
      <c r="Z47" t="str">
        <f>VLOOKUP(pub?gid_1064752002_single_true_output_csv[[#This Row],[Column3]],UTDNOVEMBRO!B:Q,15,FALSE)</f>
        <v>13/11/25</v>
      </c>
    </row>
    <row r="48" spans="1:26" x14ac:dyDescent="0.3">
      <c r="A48" t="s">
        <v>122</v>
      </c>
      <c r="B48" t="s">
        <v>116</v>
      </c>
      <c r="C48" t="s">
        <v>223</v>
      </c>
      <c r="D48" t="s">
        <v>224</v>
      </c>
      <c r="E48" t="s">
        <v>156</v>
      </c>
      <c r="F48" t="s">
        <v>35</v>
      </c>
      <c r="G48" t="s">
        <v>1465</v>
      </c>
      <c r="H48" t="s">
        <v>225</v>
      </c>
      <c r="I48" t="s">
        <v>193</v>
      </c>
      <c r="J48" t="s">
        <v>226</v>
      </c>
      <c r="K48" t="s">
        <v>29</v>
      </c>
      <c r="L48" t="s">
        <v>1465</v>
      </c>
      <c r="M48" t="s">
        <v>38</v>
      </c>
      <c r="N48" t="s">
        <v>1465</v>
      </c>
      <c r="O48" t="s">
        <v>1539</v>
      </c>
      <c r="P48">
        <v>12</v>
      </c>
      <c r="Q48" t="str">
        <f>VLOOKUP(pub?gid_1064752002_single_true_output_csv[[#This Row],[Column3]],UTDNOVEMBRO!B:AQ,42,FALSE)</f>
        <v>-11,531419</v>
      </c>
      <c r="R48" t="str">
        <f>VLOOKUP(pub?gid_1064752002_single_true_output_csv[[#This Row],[Column3]],UTDNOVEMBRO!B:AU,43,FALSE)</f>
        <v>-41,778071</v>
      </c>
      <c r="S48" t="str">
        <f>VLOOKUP(pub?gid_1064752002_single_true_output_csv[[#This Row],[Column3]],UTDNOVEMBRO!B:AC,28,FALSE)</f>
        <v/>
      </c>
      <c r="T48" t="str">
        <f>VLOOKUP(pub?gid_1064752002_single_true_output_csv[[#This Row],[Column3]],UTDNOVEMBRO!B:C,2,FALSE)</f>
        <v/>
      </c>
      <c r="U48" t="str">
        <f>VLOOKUP(pub?gid_1064752002_single_true_output_csv[[#This Row],[Column3]],UTDNOVEMBRO!B:D,3,FALSE)</f>
        <v/>
      </c>
      <c r="V48" t="str">
        <f>VLOOKUP(pub?gid_1064752002_single_true_output_csv[[#This Row],[Column3]],UTDNOVEMBRO!B:K,10,FALSE)</f>
        <v xml:space="preserve">JHONATAN MARANHAO - U617542 </v>
      </c>
      <c r="W48" t="str">
        <f>VLOOKUP(pub?gid_1064752002_single_true_output_csv[[#This Row],[Column3]],UTDNOVEMBRO!B:N,13,FALSE)</f>
        <v>04/11/25</v>
      </c>
      <c r="X48" t="str">
        <f>VLOOKUP(pub?gid_1064752002_single_true_output_csv[[#This Row],[Column3]],UTDNOVEMBRO!B:O,14,FALSE)</f>
        <v xml:space="preserve">ENCABEÇAR REDE CONFORME PROJETO. </v>
      </c>
      <c r="Y48" t="str">
        <f>VLOOKUP(pub?gid_1064752002_single_true_output_csv[[#This Row],[Column3]],UTDNOVEMBRO!B:P,15,FALSE)</f>
        <v>04/11/25</v>
      </c>
      <c r="Z48" t="str">
        <f>VLOOKUP(pub?gid_1064752002_single_true_output_csv[[#This Row],[Column3]],UTDNOVEMBRO!B:Q,15,FALSE)</f>
        <v>04/11/25</v>
      </c>
    </row>
    <row r="49" spans="1:26" x14ac:dyDescent="0.3">
      <c r="A49" t="s">
        <v>1465</v>
      </c>
      <c r="B49" t="s">
        <v>21</v>
      </c>
      <c r="C49" t="s">
        <v>227</v>
      </c>
      <c r="D49" t="s">
        <v>228</v>
      </c>
      <c r="E49" t="s">
        <v>58</v>
      </c>
      <c r="F49" t="s">
        <v>35</v>
      </c>
      <c r="G49" t="s">
        <v>1465</v>
      </c>
      <c r="H49" t="s">
        <v>141</v>
      </c>
      <c r="I49" t="s">
        <v>150</v>
      </c>
      <c r="J49" t="s">
        <v>28</v>
      </c>
      <c r="K49" t="s">
        <v>74</v>
      </c>
      <c r="L49" t="s">
        <v>1465</v>
      </c>
      <c r="M49" t="s">
        <v>1465</v>
      </c>
      <c r="N49" t="s">
        <v>1465</v>
      </c>
      <c r="O49" t="s">
        <v>76</v>
      </c>
      <c r="P49">
        <v>0</v>
      </c>
      <c r="Q49" t="str">
        <f>VLOOKUP(pub?gid_1064752002_single_true_output_csv[[#This Row],[Column3]],UTDNOVEMBRO!B:AQ,42,FALSE)</f>
        <v>-11,368254</v>
      </c>
      <c r="R49" t="str">
        <f>VLOOKUP(pub?gid_1064752002_single_true_output_csv[[#This Row],[Column3]],UTDNOVEMBRO!B:AU,43,FALSE)</f>
        <v>-41,420982</v>
      </c>
      <c r="S49" t="str">
        <f>VLOOKUP(pub?gid_1064752002_single_true_output_csv[[#This Row],[Column3]],UTDNOVEMBRO!B:AC,28,FALSE)</f>
        <v/>
      </c>
      <c r="T49" t="str">
        <f>VLOOKUP(pub?gid_1064752002_single_true_output_csv[[#This Row],[Column3]],UTDNOVEMBRO!B:C,2,FALSE)</f>
        <v/>
      </c>
      <c r="U49" t="str">
        <f>VLOOKUP(pub?gid_1064752002_single_true_output_csv[[#This Row],[Column3]],UTDNOVEMBRO!B:D,3,FALSE)</f>
        <v/>
      </c>
      <c r="V49" t="str">
        <f>VLOOKUP(pub?gid_1064752002_single_true_output_csv[[#This Row],[Column3]],UTDNOVEMBRO!B:K,10,FALSE)</f>
        <v xml:space="preserve">JOSE EDUARDO GOMES DOS SANTOS LIMA - U468835 </v>
      </c>
      <c r="W49" t="str">
        <f>VLOOKUP(pub?gid_1064752002_single_true_output_csv[[#This Row],[Column3]],UTDNOVEMBRO!B:N,13,FALSE)</f>
        <v>05/11/25</v>
      </c>
      <c r="X49" t="str">
        <f>VLOOKUP(pub?gid_1064752002_single_true_output_csv[[#This Row],[Column3]],UTDNOVEMBRO!B:O,14,FALSE)</f>
        <v>INTERCALAR POSTE 11/600N1-3 CONFORME PROJETO</v>
      </c>
      <c r="Y49" t="str">
        <f>VLOOKUP(pub?gid_1064752002_single_true_output_csv[[#This Row],[Column3]],UTDNOVEMBRO!B:P,15,FALSE)</f>
        <v>05/11/25</v>
      </c>
      <c r="Z49" t="str">
        <f>VLOOKUP(pub?gid_1064752002_single_true_output_csv[[#This Row],[Column3]],UTDNOVEMBRO!B:Q,15,FALSE)</f>
        <v>05/11/25</v>
      </c>
    </row>
    <row r="50" spans="1:26" x14ac:dyDescent="0.3">
      <c r="A50" t="s">
        <v>1465</v>
      </c>
      <c r="B50" t="s">
        <v>1465</v>
      </c>
      <c r="C50" t="s">
        <v>229</v>
      </c>
      <c r="D50" t="s">
        <v>230</v>
      </c>
      <c r="E50" t="s">
        <v>100</v>
      </c>
      <c r="F50" t="s">
        <v>35</v>
      </c>
      <c r="G50" t="s">
        <v>222</v>
      </c>
      <c r="H50" t="s">
        <v>112</v>
      </c>
      <c r="I50" t="s">
        <v>385</v>
      </c>
      <c r="J50" t="s">
        <v>1465</v>
      </c>
      <c r="K50" t="s">
        <v>74</v>
      </c>
      <c r="L50" t="s">
        <v>1465</v>
      </c>
      <c r="M50" t="s">
        <v>1465</v>
      </c>
      <c r="N50" t="s">
        <v>1465</v>
      </c>
      <c r="O50" t="s">
        <v>76</v>
      </c>
      <c r="P50">
        <v>0</v>
      </c>
      <c r="Q50" t="str">
        <f>VLOOKUP(pub?gid_1064752002_single_true_output_csv[[#This Row],[Column3]],UTDNOVEMBRO!B:AQ,42,FALSE)</f>
        <v>-11,703122</v>
      </c>
      <c r="R50" t="str">
        <f>VLOOKUP(pub?gid_1064752002_single_true_output_csv[[#This Row],[Column3]],UTDNOVEMBRO!B:AU,43,FALSE)</f>
        <v>-41,471645</v>
      </c>
      <c r="S50" t="str">
        <f>VLOOKUP(pub?gid_1064752002_single_true_output_csv[[#This Row],[Column3]],UTDNOVEMBRO!B:AC,28,FALSE)</f>
        <v/>
      </c>
      <c r="T50" t="str">
        <f>VLOOKUP(pub?gid_1064752002_single_true_output_csv[[#This Row],[Column3]],UTDNOVEMBRO!B:C,2,FALSE)</f>
        <v/>
      </c>
      <c r="U50" t="str">
        <f>VLOOKUP(pub?gid_1064752002_single_true_output_csv[[#This Row],[Column3]],UTDNOVEMBRO!B:D,3,FALSE)</f>
        <v/>
      </c>
      <c r="V50" t="str">
        <f>VLOOKUP(pub?gid_1064752002_single_true_output_csv[[#This Row],[Column3]],UTDNOVEMBRO!B:K,10,FALSE)</f>
        <v>MANOEL MESSIAS ALENCAR - U359765</v>
      </c>
      <c r="W50" t="str">
        <f>VLOOKUP(pub?gid_1064752002_single_true_output_csv[[#This Row],[Column3]],UTDNOVEMBRO!B:N,13,FALSE)</f>
        <v>05/11/25</v>
      </c>
      <c r="X50" t="str">
        <f>VLOOKUP(pub?gid_1064752002_single_true_output_csv[[#This Row],[Column3]],UTDNOVEMBRO!B:O,14,FALSE)</f>
        <v>OBRA APITAR PARA CONSTRUÇÃO CONFORME PROJETO</v>
      </c>
      <c r="Y50" t="str">
        <f>VLOOKUP(pub?gid_1064752002_single_true_output_csv[[#This Row],[Column3]],UTDNOVEMBRO!B:P,15,FALSE)</f>
        <v>06/11/25</v>
      </c>
      <c r="Z50" t="str">
        <f>VLOOKUP(pub?gid_1064752002_single_true_output_csv[[#This Row],[Column3]],UTDNOVEMBRO!B:Q,15,FALSE)</f>
        <v>06/11/25</v>
      </c>
    </row>
    <row r="51" spans="1:26" x14ac:dyDescent="0.3">
      <c r="A51" t="s">
        <v>1465</v>
      </c>
      <c r="B51" t="s">
        <v>1465</v>
      </c>
      <c r="C51" t="s">
        <v>231</v>
      </c>
      <c r="D51" t="s">
        <v>232</v>
      </c>
      <c r="E51" t="s">
        <v>100</v>
      </c>
      <c r="F51" t="s">
        <v>35</v>
      </c>
      <c r="G51" t="s">
        <v>222</v>
      </c>
      <c r="H51" t="s">
        <v>112</v>
      </c>
      <c r="I51" t="s">
        <v>385</v>
      </c>
      <c r="J51" t="s">
        <v>1465</v>
      </c>
      <c r="K51" t="s">
        <v>74</v>
      </c>
      <c r="L51" t="s">
        <v>1465</v>
      </c>
      <c r="M51" t="s">
        <v>1465</v>
      </c>
      <c r="N51" t="s">
        <v>1465</v>
      </c>
      <c r="O51" t="s">
        <v>76</v>
      </c>
      <c r="P51">
        <v>0</v>
      </c>
      <c r="Q51" t="str">
        <f>VLOOKUP(pub?gid_1064752002_single_true_output_csv[[#This Row],[Column3]],UTDNOVEMBRO!B:AQ,42,FALSE)</f>
        <v>-11,687142</v>
      </c>
      <c r="R51" t="str">
        <f>VLOOKUP(pub?gid_1064752002_single_true_output_csv[[#This Row],[Column3]],UTDNOVEMBRO!B:AU,43,FALSE)</f>
        <v>-41,522492</v>
      </c>
      <c r="S51" t="str">
        <f>VLOOKUP(pub?gid_1064752002_single_true_output_csv[[#This Row],[Column3]],UTDNOVEMBRO!B:AC,28,FALSE)</f>
        <v/>
      </c>
      <c r="T51" t="str">
        <f>VLOOKUP(pub?gid_1064752002_single_true_output_csv[[#This Row],[Column3]],UTDNOVEMBRO!B:C,2,FALSE)</f>
        <v/>
      </c>
      <c r="U51" t="str">
        <f>VLOOKUP(pub?gid_1064752002_single_true_output_csv[[#This Row],[Column3]],UTDNOVEMBRO!B:D,3,FALSE)</f>
        <v/>
      </c>
      <c r="V51" t="str">
        <f>VLOOKUP(pub?gid_1064752002_single_true_output_csv[[#This Row],[Column3]],UTDNOVEMBRO!B:K,10,FALSE)</f>
        <v>MANOEL MESSIAS ALENCAR - U359765</v>
      </c>
      <c r="W51" t="str">
        <f>VLOOKUP(pub?gid_1064752002_single_true_output_csv[[#This Row],[Column3]],UTDNOVEMBRO!B:N,13,FALSE)</f>
        <v>05/11/25</v>
      </c>
      <c r="X51" t="str">
        <f>VLOOKUP(pub?gid_1064752002_single_true_output_csv[[#This Row],[Column3]],UTDNOVEMBRO!B:O,14,FALSE)</f>
        <v>OBRA APITAR PARA CONSTRUÇÃO CONFORME PROJETO</v>
      </c>
      <c r="Y51" t="str">
        <f>VLOOKUP(pub?gid_1064752002_single_true_output_csv[[#This Row],[Column3]],UTDNOVEMBRO!B:P,15,FALSE)</f>
        <v>06/11/25</v>
      </c>
      <c r="Z51" t="str">
        <f>VLOOKUP(pub?gid_1064752002_single_true_output_csv[[#This Row],[Column3]],UTDNOVEMBRO!B:Q,15,FALSE)</f>
        <v>06/11/25</v>
      </c>
    </row>
    <row r="52" spans="1:26" x14ac:dyDescent="0.3">
      <c r="A52" t="s">
        <v>1465</v>
      </c>
      <c r="B52" t="s">
        <v>1465</v>
      </c>
      <c r="C52" t="s">
        <v>233</v>
      </c>
      <c r="D52" t="s">
        <v>234</v>
      </c>
      <c r="E52" t="s">
        <v>105</v>
      </c>
      <c r="F52" t="s">
        <v>35</v>
      </c>
      <c r="G52" t="s">
        <v>222</v>
      </c>
      <c r="H52" t="s">
        <v>235</v>
      </c>
      <c r="I52" t="s">
        <v>385</v>
      </c>
      <c r="J52" t="s">
        <v>1465</v>
      </c>
      <c r="K52" t="s">
        <v>74</v>
      </c>
      <c r="L52" t="s">
        <v>1465</v>
      </c>
      <c r="M52" t="s">
        <v>1465</v>
      </c>
      <c r="N52" t="s">
        <v>1465</v>
      </c>
      <c r="O52" t="s">
        <v>76</v>
      </c>
      <c r="P52">
        <v>0</v>
      </c>
      <c r="Q52" t="str">
        <f>VLOOKUP(pub?gid_1064752002_single_true_output_csv[[#This Row],[Column3]],UTDNOVEMBRO!B:AQ,42,FALSE)</f>
        <v/>
      </c>
      <c r="R52" t="str">
        <f>VLOOKUP(pub?gid_1064752002_single_true_output_csv[[#This Row],[Column3]],UTDNOVEMBRO!B:AU,43,FALSE)</f>
        <v/>
      </c>
      <c r="S52" t="str">
        <f>VLOOKUP(pub?gid_1064752002_single_true_output_csv[[#This Row],[Column3]],UTDNOVEMBRO!B:AC,28,FALSE)</f>
        <v/>
      </c>
      <c r="T52" t="str">
        <f>VLOOKUP(pub?gid_1064752002_single_true_output_csv[[#This Row],[Column3]],UTDNOVEMBRO!B:C,2,FALSE)</f>
        <v/>
      </c>
      <c r="U52" t="str">
        <f>VLOOKUP(pub?gid_1064752002_single_true_output_csv[[#This Row],[Column3]],UTDNOVEMBRO!B:D,3,FALSE)</f>
        <v/>
      </c>
      <c r="V52" t="str">
        <f>VLOOKUP(pub?gid_1064752002_single_true_output_csv[[#This Row],[Column3]],UTDNOVEMBRO!B:K,10,FALSE)</f>
        <v xml:space="preserve">JOSE EDUARDO GOMES DOS SANTOS LIMA - U468835 </v>
      </c>
      <c r="W52" t="str">
        <f>VLOOKUP(pub?gid_1064752002_single_true_output_csv[[#This Row],[Column3]],UTDNOVEMBRO!B:N,13,FALSE)</f>
        <v/>
      </c>
      <c r="X52" t="str">
        <f>VLOOKUP(pub?gid_1064752002_single_true_output_csv[[#This Row],[Column3]],UTDNOVEMBRO!B:O,14,FALSE)</f>
        <v/>
      </c>
      <c r="Y52" t="str">
        <f>VLOOKUP(pub?gid_1064752002_single_true_output_csv[[#This Row],[Column3]],UTDNOVEMBRO!B:P,15,FALSE)</f>
        <v/>
      </c>
      <c r="Z52" t="str">
        <f>VLOOKUP(pub?gid_1064752002_single_true_output_csv[[#This Row],[Column3]],UTDNOVEMBRO!B:Q,15,FALSE)</f>
        <v/>
      </c>
    </row>
    <row r="53" spans="1:26" x14ac:dyDescent="0.3">
      <c r="A53" t="s">
        <v>1465</v>
      </c>
      <c r="B53" t="s">
        <v>1465</v>
      </c>
      <c r="C53" t="s">
        <v>236</v>
      </c>
      <c r="D53" t="s">
        <v>237</v>
      </c>
      <c r="E53" t="s">
        <v>100</v>
      </c>
      <c r="F53" t="s">
        <v>35</v>
      </c>
      <c r="G53" t="s">
        <v>222</v>
      </c>
      <c r="H53" t="s">
        <v>80</v>
      </c>
      <c r="I53" t="s">
        <v>385</v>
      </c>
      <c r="J53" t="s">
        <v>1465</v>
      </c>
      <c r="K53" t="s">
        <v>74</v>
      </c>
      <c r="L53" t="s">
        <v>1465</v>
      </c>
      <c r="M53" t="s">
        <v>1465</v>
      </c>
      <c r="N53" t="s">
        <v>1465</v>
      </c>
      <c r="O53" t="s">
        <v>76</v>
      </c>
      <c r="P53">
        <v>0</v>
      </c>
      <c r="Q53" t="str">
        <f>VLOOKUP(pub?gid_1064752002_single_true_output_csv[[#This Row],[Column3]],UTDNOVEMBRO!B:AQ,42,FALSE)</f>
        <v>-11,817043</v>
      </c>
      <c r="R53" t="str">
        <f>VLOOKUP(pub?gid_1064752002_single_true_output_csv[[#This Row],[Column3]],UTDNOVEMBRO!B:AU,43,FALSE)</f>
        <v>-41,506068</v>
      </c>
      <c r="S53" t="str">
        <f>VLOOKUP(pub?gid_1064752002_single_true_output_csv[[#This Row],[Column3]],UTDNOVEMBRO!B:AC,28,FALSE)</f>
        <v/>
      </c>
      <c r="T53" t="str">
        <f>VLOOKUP(pub?gid_1064752002_single_true_output_csv[[#This Row],[Column3]],UTDNOVEMBRO!B:C,2,FALSE)</f>
        <v/>
      </c>
      <c r="U53" t="str">
        <f>VLOOKUP(pub?gid_1064752002_single_true_output_csv[[#This Row],[Column3]],UTDNOVEMBRO!B:D,3,FALSE)</f>
        <v/>
      </c>
      <c r="V53" t="str">
        <f>VLOOKUP(pub?gid_1064752002_single_true_output_csv[[#This Row],[Column3]],UTDNOVEMBRO!B:K,10,FALSE)</f>
        <v>MANOEL MESSIAS ALENCAR - U359765</v>
      </c>
      <c r="W53" t="str">
        <f>VLOOKUP(pub?gid_1064752002_single_true_output_csv[[#This Row],[Column3]],UTDNOVEMBRO!B:N,13,FALSE)</f>
        <v>05/11/25</v>
      </c>
      <c r="X53" t="str">
        <f>VLOOKUP(pub?gid_1064752002_single_true_output_csv[[#This Row],[Column3]],UTDNOVEMBRO!B:O,14,FALSE)</f>
        <v>OBRA APITAR PARA CONSTRUÇÃO CONFORME PROJETO</v>
      </c>
      <c r="Y53" t="str">
        <f>VLOOKUP(pub?gid_1064752002_single_true_output_csv[[#This Row],[Column3]],UTDNOVEMBRO!B:P,15,FALSE)</f>
        <v>06/11/25</v>
      </c>
      <c r="Z53" t="str">
        <f>VLOOKUP(pub?gid_1064752002_single_true_output_csv[[#This Row],[Column3]],UTDNOVEMBRO!B:Q,15,FALSE)</f>
        <v>06/11/25</v>
      </c>
    </row>
    <row r="54" spans="1:26" x14ac:dyDescent="0.3">
      <c r="A54" t="s">
        <v>157</v>
      </c>
      <c r="B54" t="s">
        <v>116</v>
      </c>
      <c r="C54" t="s">
        <v>238</v>
      </c>
      <c r="D54" t="s">
        <v>239</v>
      </c>
      <c r="E54" t="s">
        <v>160</v>
      </c>
      <c r="F54" t="s">
        <v>35</v>
      </c>
      <c r="G54" t="s">
        <v>1465</v>
      </c>
      <c r="H54" t="s">
        <v>240</v>
      </c>
      <c r="I54" t="s">
        <v>66</v>
      </c>
      <c r="J54" t="s">
        <v>28</v>
      </c>
      <c r="K54" t="s">
        <v>29</v>
      </c>
      <c r="L54" t="s">
        <v>1465</v>
      </c>
      <c r="M54" t="s">
        <v>38</v>
      </c>
      <c r="N54" t="s">
        <v>1465</v>
      </c>
      <c r="O54" t="s">
        <v>76</v>
      </c>
      <c r="P54">
        <v>0</v>
      </c>
      <c r="Q54" t="str">
        <f>VLOOKUP(pub?gid_1064752002_single_true_output_csv[[#This Row],[Column3]],UTDNOVEMBRO!B:AQ,42,FALSE)</f>
        <v>-10,944534</v>
      </c>
      <c r="R54" t="str">
        <f>VLOOKUP(pub?gid_1064752002_single_true_output_csv[[#This Row],[Column3]],UTDNOVEMBRO!B:AU,43,FALSE)</f>
        <v>-42,174867</v>
      </c>
      <c r="S54" t="str">
        <f>VLOOKUP(pub?gid_1064752002_single_true_output_csv[[#This Row],[Column3]],UTDNOVEMBRO!B:AC,28,FALSE)</f>
        <v/>
      </c>
      <c r="T54" t="str">
        <f>VLOOKUP(pub?gid_1064752002_single_true_output_csv[[#This Row],[Column3]],UTDNOVEMBRO!B:C,2,FALSE)</f>
        <v/>
      </c>
      <c r="U54" t="str">
        <f>VLOOKUP(pub?gid_1064752002_single_true_output_csv[[#This Row],[Column3]],UTDNOVEMBRO!B:D,3,FALSE)</f>
        <v/>
      </c>
      <c r="V54" t="str">
        <f>VLOOKUP(pub?gid_1064752002_single_true_output_csv[[#This Row],[Column3]],UTDNOVEMBRO!B:K,10,FALSE)</f>
        <v xml:space="preserve">JOSE EDUARDO GOMES DOS SANTOS LIMA - U468835 </v>
      </c>
      <c r="W54" t="str">
        <f>VLOOKUP(pub?gid_1064752002_single_true_output_csv[[#This Row],[Column3]],UTDNOVEMBRO!B:N,13,FALSE)</f>
        <v>04/11/25</v>
      </c>
      <c r="X54" t="str">
        <f>VLOOKUP(pub?gid_1064752002_single_true_output_csv[[#This Row],[Column3]],UTDNOVEMBRO!B:O,14,FALSE)</f>
        <v>OBRA APITA PARA CONSTRUÇÃO.</v>
      </c>
      <c r="Y54" t="str">
        <f>VLOOKUP(pub?gid_1064752002_single_true_output_csv[[#This Row],[Column3]],UTDNOVEMBRO!B:P,15,FALSE)</f>
        <v>05/11/25</v>
      </c>
      <c r="Z54" t="str">
        <f>VLOOKUP(pub?gid_1064752002_single_true_output_csv[[#This Row],[Column3]],UTDNOVEMBRO!B:Q,15,FALSE)</f>
        <v>05/11/25</v>
      </c>
    </row>
    <row r="55" spans="1:26" x14ac:dyDescent="0.3">
      <c r="A55" t="s">
        <v>1465</v>
      </c>
      <c r="B55" t="s">
        <v>1465</v>
      </c>
      <c r="C55" t="s">
        <v>241</v>
      </c>
      <c r="D55" t="s">
        <v>242</v>
      </c>
      <c r="E55" t="s">
        <v>243</v>
      </c>
      <c r="F55" t="s">
        <v>35</v>
      </c>
      <c r="G55" t="s">
        <v>222</v>
      </c>
      <c r="H55" t="s">
        <v>80</v>
      </c>
      <c r="I55" t="s">
        <v>385</v>
      </c>
      <c r="J55" t="s">
        <v>1465</v>
      </c>
      <c r="K55" t="s">
        <v>74</v>
      </c>
      <c r="L55" t="s">
        <v>1465</v>
      </c>
      <c r="M55" t="s">
        <v>1465</v>
      </c>
      <c r="N55" t="s">
        <v>1465</v>
      </c>
      <c r="O55" t="s">
        <v>76</v>
      </c>
      <c r="P55">
        <v>0</v>
      </c>
      <c r="Q55" t="str">
        <f>VLOOKUP(pub?gid_1064752002_single_true_output_csv[[#This Row],[Column3]],UTDNOVEMBRO!B:AQ,42,FALSE)</f>
        <v>-11.920686</v>
      </c>
      <c r="R55" t="str">
        <f>VLOOKUP(pub?gid_1064752002_single_true_output_csv[[#This Row],[Column3]],UTDNOVEMBRO!B:AU,43,FALSE)</f>
        <v>-42.03913</v>
      </c>
      <c r="S55" t="str">
        <f>VLOOKUP(pub?gid_1064752002_single_true_output_csv[[#This Row],[Column3]],UTDNOVEMBRO!B:AC,28,FALSE)</f>
        <v/>
      </c>
      <c r="T55" t="str">
        <f>VLOOKUP(pub?gid_1064752002_single_true_output_csv[[#This Row],[Column3]],UTDNOVEMBRO!B:C,2,FALSE)</f>
        <v/>
      </c>
      <c r="U55" t="str">
        <f>VLOOKUP(pub?gid_1064752002_single_true_output_csv[[#This Row],[Column3]],UTDNOVEMBRO!B:D,3,FALSE)</f>
        <v/>
      </c>
      <c r="V55" t="str">
        <f>VLOOKUP(pub?gid_1064752002_single_true_output_csv[[#This Row],[Column3]],UTDNOVEMBRO!B:K,10,FALSE)</f>
        <v>ALINE LIMA SILVA - U468383</v>
      </c>
      <c r="W55" t="str">
        <f>VLOOKUP(pub?gid_1064752002_single_true_output_csv[[#This Row],[Column3]],UTDNOVEMBRO!B:N,13,FALSE)</f>
        <v>06/10/25</v>
      </c>
      <c r="X55" t="str">
        <f>VLOOKUP(pub?gid_1064752002_single_true_output_csv[[#This Row],[Column3]],UTDNOVEMBRO!B:O,14,FALSE)</f>
        <v>ENCABEÇAR REDE CONFORME PROJETO. APENAS ROLDANA, ALÇA E CONECTORES.</v>
      </c>
      <c r="Y55" t="str">
        <f>VLOOKUP(pub?gid_1064752002_single_true_output_csv[[#This Row],[Column3]],UTDNOVEMBRO!B:P,15,FALSE)</f>
        <v>07/11/25</v>
      </c>
      <c r="Z55" t="str">
        <f>VLOOKUP(pub?gid_1064752002_single_true_output_csv[[#This Row],[Column3]],UTDNOVEMBRO!B:Q,15,FALSE)</f>
        <v>07/11/25</v>
      </c>
    </row>
    <row r="56" spans="1:26" x14ac:dyDescent="0.3">
      <c r="A56" t="s">
        <v>1465</v>
      </c>
      <c r="B56" t="s">
        <v>1465</v>
      </c>
      <c r="C56" t="s">
        <v>244</v>
      </c>
      <c r="D56" t="s">
        <v>245</v>
      </c>
      <c r="E56" t="s">
        <v>243</v>
      </c>
      <c r="F56" t="s">
        <v>181</v>
      </c>
      <c r="G56" t="s">
        <v>222</v>
      </c>
      <c r="H56" t="s">
        <v>196</v>
      </c>
      <c r="I56" t="s">
        <v>385</v>
      </c>
      <c r="J56" t="s">
        <v>1465</v>
      </c>
      <c r="K56" t="s">
        <v>74</v>
      </c>
      <c r="L56" t="s">
        <v>1465</v>
      </c>
      <c r="M56" t="s">
        <v>1465</v>
      </c>
      <c r="N56" t="s">
        <v>1465</v>
      </c>
      <c r="O56" t="s">
        <v>76</v>
      </c>
      <c r="P56">
        <v>0</v>
      </c>
      <c r="Q56" t="str">
        <f>VLOOKUP(pub?gid_1064752002_single_true_output_csv[[#This Row],[Column3]],UTDNOVEMBRO!B:AQ,42,FALSE)</f>
        <v>-12.215743</v>
      </c>
      <c r="R56" t="str">
        <f>VLOOKUP(pub?gid_1064752002_single_true_output_csv[[#This Row],[Column3]],UTDNOVEMBRO!B:AU,43,FALSE)</f>
        <v>-42.01724</v>
      </c>
      <c r="S56" t="str">
        <f>VLOOKUP(pub?gid_1064752002_single_true_output_csv[[#This Row],[Column3]],UTDNOVEMBRO!B:AC,28,FALSE)</f>
        <v/>
      </c>
      <c r="T56" t="str">
        <f>VLOOKUP(pub?gid_1064752002_single_true_output_csv[[#This Row],[Column3]],UTDNOVEMBRO!B:C,2,FALSE)</f>
        <v/>
      </c>
      <c r="U56" t="str">
        <f>VLOOKUP(pub?gid_1064752002_single_true_output_csv[[#This Row],[Column3]],UTDNOVEMBRO!B:D,3,FALSE)</f>
        <v/>
      </c>
      <c r="V56" t="str">
        <f>VLOOKUP(pub?gid_1064752002_single_true_output_csv[[#This Row],[Column3]],UTDNOVEMBRO!B:K,10,FALSE)</f>
        <v>ALINE LIMA SILVA - U468383</v>
      </c>
      <c r="W56" t="str">
        <f>VLOOKUP(pub?gid_1064752002_single_true_output_csv[[#This Row],[Column3]],UTDNOVEMBRO!B:N,13,FALSE)</f>
        <v>06/10/25</v>
      </c>
      <c r="X56" t="str">
        <f>VLOOKUP(pub?gid_1064752002_single_true_output_csv[[#This Row],[Column3]],UTDNOVEMBRO!B:O,14,FALSE)</f>
        <v>REMOVER A REDE DE CIMA DAS CASAS CONFORME PROJETO.</v>
      </c>
      <c r="Y56" t="str">
        <f>VLOOKUP(pub?gid_1064752002_single_true_output_csv[[#This Row],[Column3]],UTDNOVEMBRO!B:P,15,FALSE)</f>
        <v>07/11/25</v>
      </c>
      <c r="Z56" t="str">
        <f>VLOOKUP(pub?gid_1064752002_single_true_output_csv[[#This Row],[Column3]],UTDNOVEMBRO!B:Q,15,FALSE)</f>
        <v>07/11/25</v>
      </c>
    </row>
    <row r="57" spans="1:26" x14ac:dyDescent="0.3">
      <c r="A57" t="s">
        <v>1465</v>
      </c>
      <c r="B57" t="s">
        <v>1465</v>
      </c>
      <c r="C57" t="s">
        <v>246</v>
      </c>
      <c r="D57" t="s">
        <v>247</v>
      </c>
      <c r="E57" t="s">
        <v>43</v>
      </c>
      <c r="F57" t="s">
        <v>35</v>
      </c>
      <c r="G57" t="s">
        <v>222</v>
      </c>
      <c r="H57" t="s">
        <v>80</v>
      </c>
      <c r="I57" t="s">
        <v>385</v>
      </c>
      <c r="J57" t="s">
        <v>1465</v>
      </c>
      <c r="K57" t="s">
        <v>74</v>
      </c>
      <c r="L57" t="s">
        <v>1465</v>
      </c>
      <c r="M57" t="s">
        <v>1465</v>
      </c>
      <c r="N57" t="s">
        <v>1465</v>
      </c>
      <c r="O57" t="s">
        <v>76</v>
      </c>
      <c r="P57">
        <v>0</v>
      </c>
      <c r="Q57" t="str">
        <f>VLOOKUP(pub?gid_1064752002_single_true_output_csv[[#This Row],[Column3]],UTDNOVEMBRO!B:AQ,42,FALSE)</f>
        <v>-11.909983</v>
      </c>
      <c r="R57" t="str">
        <f>VLOOKUP(pub?gid_1064752002_single_true_output_csv[[#This Row],[Column3]],UTDNOVEMBRO!B:AU,43,FALSE)</f>
        <v>-41.74357</v>
      </c>
      <c r="S57" t="str">
        <f>VLOOKUP(pub?gid_1064752002_single_true_output_csv[[#This Row],[Column3]],UTDNOVEMBRO!B:AC,28,FALSE)</f>
        <v/>
      </c>
      <c r="T57" t="str">
        <f>VLOOKUP(pub?gid_1064752002_single_true_output_csv[[#This Row],[Column3]],UTDNOVEMBRO!B:C,2,FALSE)</f>
        <v/>
      </c>
      <c r="U57" t="str">
        <f>VLOOKUP(pub?gid_1064752002_single_true_output_csv[[#This Row],[Column3]],UTDNOVEMBRO!B:D,3,FALSE)</f>
        <v/>
      </c>
      <c r="V57" t="str">
        <f>VLOOKUP(pub?gid_1064752002_single_true_output_csv[[#This Row],[Column3]],UTDNOVEMBRO!B:K,10,FALSE)</f>
        <v>ALINE LIMA SILVA - U468383</v>
      </c>
      <c r="W57" t="str">
        <f>VLOOKUP(pub?gid_1064752002_single_true_output_csv[[#This Row],[Column3]],UTDNOVEMBRO!B:N,13,FALSE)</f>
        <v/>
      </c>
      <c r="X57" t="str">
        <f>VLOOKUP(pub?gid_1064752002_single_true_output_csv[[#This Row],[Column3]],UTDNOVEMBRO!B:O,14,FALSE)</f>
        <v/>
      </c>
      <c r="Y57" t="str">
        <f>VLOOKUP(pub?gid_1064752002_single_true_output_csv[[#This Row],[Column3]],UTDNOVEMBRO!B:P,15,FALSE)</f>
        <v/>
      </c>
      <c r="Z57" t="str">
        <f>VLOOKUP(pub?gid_1064752002_single_true_output_csv[[#This Row],[Column3]],UTDNOVEMBRO!B:Q,15,FALSE)</f>
        <v/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D535-93F4-497A-B9A7-00C42D85FCD7}">
  <dimension ref="A1:BO87"/>
  <sheetViews>
    <sheetView workbookViewId="0">
      <selection activeCell="D14" sqref="D14"/>
    </sheetView>
  </sheetViews>
  <sheetFormatPr defaultRowHeight="14.4" x14ac:dyDescent="0.3"/>
  <cols>
    <col min="1" max="1" width="17.88671875" bestFit="1" customWidth="1"/>
    <col min="2" max="4" width="10.6640625" bestFit="1" customWidth="1"/>
    <col min="5" max="5" width="44.21875" bestFit="1" customWidth="1"/>
    <col min="6" max="6" width="17.88671875" bestFit="1" customWidth="1"/>
    <col min="7" max="7" width="20.21875" bestFit="1" customWidth="1"/>
    <col min="8" max="8" width="80.88671875" bestFit="1" customWidth="1"/>
    <col min="9" max="9" width="42.33203125" bestFit="1" customWidth="1"/>
    <col min="10" max="10" width="45.6640625" bestFit="1" customWidth="1"/>
    <col min="11" max="11" width="44.88671875" bestFit="1" customWidth="1"/>
    <col min="12" max="12" width="20.44140625" bestFit="1" customWidth="1"/>
    <col min="13" max="13" width="24" bestFit="1" customWidth="1"/>
    <col min="14" max="14" width="12.21875" bestFit="1" customWidth="1"/>
    <col min="15" max="15" width="80.88671875" bestFit="1" customWidth="1"/>
    <col min="16" max="16" width="25.44140625" bestFit="1" customWidth="1"/>
    <col min="17" max="17" width="22.6640625" bestFit="1" customWidth="1"/>
    <col min="18" max="18" width="21.44140625" bestFit="1" customWidth="1"/>
    <col min="19" max="19" width="23.5546875" bestFit="1" customWidth="1"/>
    <col min="20" max="20" width="11.6640625" bestFit="1" customWidth="1"/>
    <col min="21" max="21" width="35.44140625" bestFit="1" customWidth="1"/>
    <col min="22" max="22" width="23.5546875" bestFit="1" customWidth="1"/>
    <col min="23" max="23" width="20.77734375" bestFit="1" customWidth="1"/>
    <col min="24" max="24" width="24.44140625" bestFit="1" customWidth="1"/>
    <col min="25" max="25" width="20.77734375" bestFit="1" customWidth="1"/>
    <col min="26" max="26" width="14.21875" bestFit="1" customWidth="1"/>
    <col min="27" max="27" width="11.6640625" bestFit="1" customWidth="1"/>
    <col min="28" max="28" width="36.77734375" bestFit="1" customWidth="1"/>
    <col min="29" max="29" width="19.21875" bestFit="1" customWidth="1"/>
    <col min="30" max="30" width="22.21875" bestFit="1" customWidth="1"/>
    <col min="31" max="31" width="17.77734375" bestFit="1" customWidth="1"/>
    <col min="32" max="32" width="14.88671875" bestFit="1" customWidth="1"/>
    <col min="33" max="33" width="17.88671875" bestFit="1" customWidth="1"/>
    <col min="34" max="34" width="17.5546875" bestFit="1" customWidth="1"/>
    <col min="35" max="36" width="11.6640625" bestFit="1" customWidth="1"/>
    <col min="37" max="37" width="15.109375" bestFit="1" customWidth="1"/>
    <col min="38" max="38" width="12.21875" bestFit="1" customWidth="1"/>
    <col min="39" max="39" width="19.88671875" bestFit="1" customWidth="1"/>
    <col min="40" max="40" width="22.109375" bestFit="1" customWidth="1"/>
    <col min="41" max="41" width="13.44140625" bestFit="1" customWidth="1"/>
    <col min="42" max="42" width="14.21875" bestFit="1" customWidth="1"/>
    <col min="43" max="44" width="11.6640625" bestFit="1" customWidth="1"/>
    <col min="45" max="45" width="17" bestFit="1" customWidth="1"/>
    <col min="46" max="46" width="16.77734375" bestFit="1" customWidth="1"/>
    <col min="47" max="47" width="14.44140625" bestFit="1" customWidth="1"/>
    <col min="48" max="48" width="16.33203125" bestFit="1" customWidth="1"/>
    <col min="49" max="51" width="11.6640625" bestFit="1" customWidth="1"/>
    <col min="52" max="52" width="18.21875" bestFit="1" customWidth="1"/>
    <col min="53" max="53" width="24.33203125" bestFit="1" customWidth="1"/>
    <col min="54" max="54" width="16.5546875" bestFit="1" customWidth="1"/>
    <col min="55" max="59" width="11.6640625" bestFit="1" customWidth="1"/>
    <col min="60" max="60" width="17.88671875" bestFit="1" customWidth="1"/>
    <col min="61" max="61" width="16.5546875" bestFit="1" customWidth="1"/>
    <col min="62" max="62" width="80.88671875" bestFit="1" customWidth="1"/>
    <col min="63" max="63" width="21.77734375" bestFit="1" customWidth="1"/>
    <col min="64" max="64" width="11.6640625" bestFit="1" customWidth="1"/>
    <col min="65" max="67" width="25" bestFit="1" customWidth="1"/>
  </cols>
  <sheetData>
    <row r="1" spans="1:67" x14ac:dyDescent="0.3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  <c r="Q1" t="s">
        <v>265</v>
      </c>
      <c r="R1" t="s">
        <v>266</v>
      </c>
      <c r="S1" t="s">
        <v>267</v>
      </c>
      <c r="T1" t="s">
        <v>268</v>
      </c>
      <c r="U1" t="s">
        <v>269</v>
      </c>
      <c r="V1" t="s">
        <v>270</v>
      </c>
      <c r="W1" t="s">
        <v>271</v>
      </c>
      <c r="X1" t="s">
        <v>272</v>
      </c>
      <c r="Y1" t="s">
        <v>273</v>
      </c>
      <c r="Z1" t="s">
        <v>274</v>
      </c>
      <c r="AA1" t="s">
        <v>275</v>
      </c>
      <c r="AB1" t="s">
        <v>276</v>
      </c>
      <c r="AC1" t="s">
        <v>277</v>
      </c>
      <c r="AD1" t="s">
        <v>278</v>
      </c>
      <c r="AE1" t="s">
        <v>279</v>
      </c>
      <c r="AF1" t="s">
        <v>280</v>
      </c>
      <c r="AG1" t="s">
        <v>281</v>
      </c>
      <c r="AH1" t="s">
        <v>282</v>
      </c>
      <c r="AI1" t="s">
        <v>283</v>
      </c>
      <c r="AJ1" t="s">
        <v>284</v>
      </c>
      <c r="AK1" t="s">
        <v>285</v>
      </c>
      <c r="AL1" t="s">
        <v>286</v>
      </c>
      <c r="AM1" t="s">
        <v>287</v>
      </c>
      <c r="AN1" t="s">
        <v>288</v>
      </c>
      <c r="AO1" t="s">
        <v>289</v>
      </c>
      <c r="AP1" t="s">
        <v>290</v>
      </c>
      <c r="AQ1" t="s">
        <v>291</v>
      </c>
      <c r="AR1" t="s">
        <v>292</v>
      </c>
      <c r="AS1" t="s">
        <v>293</v>
      </c>
      <c r="AT1" t="s">
        <v>294</v>
      </c>
      <c r="AU1" t="s">
        <v>295</v>
      </c>
      <c r="AV1" t="s">
        <v>296</v>
      </c>
      <c r="AW1" t="s">
        <v>297</v>
      </c>
      <c r="AX1" t="s">
        <v>298</v>
      </c>
      <c r="AY1" t="s">
        <v>299</v>
      </c>
      <c r="AZ1" t="s">
        <v>300</v>
      </c>
      <c r="BA1" t="s">
        <v>301</v>
      </c>
      <c r="BB1" t="s">
        <v>302</v>
      </c>
      <c r="BC1" t="s">
        <v>303</v>
      </c>
      <c r="BD1" t="s">
        <v>304</v>
      </c>
      <c r="BE1" t="s">
        <v>305</v>
      </c>
      <c r="BF1" t="s">
        <v>306</v>
      </c>
      <c r="BG1" t="s">
        <v>307</v>
      </c>
      <c r="BH1" t="s">
        <v>308</v>
      </c>
      <c r="BI1" t="s">
        <v>309</v>
      </c>
      <c r="BJ1" t="s">
        <v>310</v>
      </c>
      <c r="BK1" t="s">
        <v>311</v>
      </c>
      <c r="BL1" t="s">
        <v>312</v>
      </c>
      <c r="BM1" t="s">
        <v>313</v>
      </c>
      <c r="BN1" t="s">
        <v>314</v>
      </c>
      <c r="BO1" t="s">
        <v>315</v>
      </c>
    </row>
    <row r="2" spans="1:67" x14ac:dyDescent="0.3">
      <c r="A2" t="s">
        <v>316</v>
      </c>
      <c r="B2" t="s">
        <v>317</v>
      </c>
      <c r="C2" t="s">
        <v>318</v>
      </c>
      <c r="D2" t="s">
        <v>319</v>
      </c>
      <c r="E2" t="s">
        <v>320</v>
      </c>
      <c r="F2" t="s">
        <v>4</v>
      </c>
      <c r="G2" t="s">
        <v>321</v>
      </c>
      <c r="H2" t="s">
        <v>322</v>
      </c>
      <c r="I2" t="s">
        <v>0</v>
      </c>
      <c r="J2" t="s">
        <v>1</v>
      </c>
      <c r="K2" t="s">
        <v>323</v>
      </c>
      <c r="L2" t="s">
        <v>324</v>
      </c>
      <c r="M2" t="s">
        <v>325</v>
      </c>
      <c r="N2" t="s">
        <v>16</v>
      </c>
      <c r="O2" t="s">
        <v>326</v>
      </c>
      <c r="P2" t="s">
        <v>327</v>
      </c>
      <c r="Q2" t="s">
        <v>19</v>
      </c>
      <c r="R2" t="s">
        <v>328</v>
      </c>
      <c r="S2" t="s">
        <v>329</v>
      </c>
      <c r="T2" t="s">
        <v>330</v>
      </c>
      <c r="U2" t="s">
        <v>331</v>
      </c>
      <c r="V2" t="s">
        <v>332</v>
      </c>
      <c r="W2" t="s">
        <v>333</v>
      </c>
      <c r="X2" t="s">
        <v>334</v>
      </c>
      <c r="Y2" t="s">
        <v>335</v>
      </c>
      <c r="Z2" t="s">
        <v>336</v>
      </c>
      <c r="AA2" t="s">
        <v>337</v>
      </c>
      <c r="AB2" t="s">
        <v>338</v>
      </c>
      <c r="AC2" t="s">
        <v>339</v>
      </c>
      <c r="AD2" t="s">
        <v>340</v>
      </c>
      <c r="AE2" t="s">
        <v>341</v>
      </c>
      <c r="AF2" t="s">
        <v>342</v>
      </c>
      <c r="AG2" t="s">
        <v>343</v>
      </c>
      <c r="AH2" t="s">
        <v>344</v>
      </c>
      <c r="AI2" t="s">
        <v>345</v>
      </c>
      <c r="AJ2" t="s">
        <v>346</v>
      </c>
      <c r="AK2" t="s">
        <v>347</v>
      </c>
      <c r="AL2" t="s">
        <v>348</v>
      </c>
      <c r="AM2" t="s">
        <v>349</v>
      </c>
      <c r="AN2" t="s">
        <v>350</v>
      </c>
      <c r="AO2" t="s">
        <v>351</v>
      </c>
      <c r="AP2" t="s">
        <v>352</v>
      </c>
      <c r="AQ2" t="s">
        <v>10</v>
      </c>
      <c r="AR2" t="s">
        <v>11</v>
      </c>
      <c r="AS2" t="s">
        <v>353</v>
      </c>
      <c r="AT2" t="s">
        <v>354</v>
      </c>
      <c r="AU2" t="s">
        <v>355</v>
      </c>
      <c r="AV2" t="s">
        <v>356</v>
      </c>
      <c r="AW2" t="s">
        <v>357</v>
      </c>
      <c r="AX2" t="s">
        <v>358</v>
      </c>
      <c r="AY2" t="s">
        <v>359</v>
      </c>
      <c r="AZ2" t="s">
        <v>360</v>
      </c>
      <c r="BA2" t="s">
        <v>361</v>
      </c>
      <c r="BB2" t="s">
        <v>362</v>
      </c>
      <c r="BC2" t="s">
        <v>363</v>
      </c>
      <c r="BD2" t="s">
        <v>364</v>
      </c>
      <c r="BE2" t="s">
        <v>365</v>
      </c>
      <c r="BF2" t="s">
        <v>366</v>
      </c>
      <c r="BG2" t="s">
        <v>367</v>
      </c>
      <c r="BH2" t="s">
        <v>368</v>
      </c>
      <c r="BI2" t="s">
        <v>369</v>
      </c>
      <c r="BJ2" t="s">
        <v>370</v>
      </c>
      <c r="BK2" t="s">
        <v>371</v>
      </c>
      <c r="BL2" t="s">
        <v>1465</v>
      </c>
      <c r="BM2" t="s">
        <v>372</v>
      </c>
      <c r="BN2" t="s">
        <v>372</v>
      </c>
      <c r="BO2" t="s">
        <v>372</v>
      </c>
    </row>
    <row r="3" spans="1:67" x14ac:dyDescent="0.3">
      <c r="A3" t="s">
        <v>373</v>
      </c>
      <c r="B3" t="s">
        <v>56</v>
      </c>
      <c r="C3" t="s">
        <v>374</v>
      </c>
      <c r="D3" t="s">
        <v>375</v>
      </c>
      <c r="E3" t="s">
        <v>57</v>
      </c>
      <c r="F3" t="s">
        <v>58</v>
      </c>
      <c r="G3" t="s">
        <v>36</v>
      </c>
      <c r="H3" t="s">
        <v>1465</v>
      </c>
      <c r="I3" t="s">
        <v>376</v>
      </c>
      <c r="J3" t="s">
        <v>377</v>
      </c>
      <c r="K3" t="s">
        <v>378</v>
      </c>
      <c r="L3" t="s">
        <v>1540</v>
      </c>
      <c r="M3" t="s">
        <v>59</v>
      </c>
      <c r="N3" t="s">
        <v>380</v>
      </c>
      <c r="O3" t="s">
        <v>381</v>
      </c>
      <c r="P3" t="s">
        <v>382</v>
      </c>
      <c r="Q3" t="s">
        <v>383</v>
      </c>
      <c r="R3" t="s">
        <v>1465</v>
      </c>
      <c r="S3" t="s">
        <v>384</v>
      </c>
      <c r="T3" t="s">
        <v>385</v>
      </c>
      <c r="U3" t="s">
        <v>248</v>
      </c>
      <c r="V3" t="s">
        <v>386</v>
      </c>
      <c r="W3" t="s">
        <v>385</v>
      </c>
      <c r="X3" t="s">
        <v>248</v>
      </c>
      <c r="Y3" t="s">
        <v>1465</v>
      </c>
      <c r="Z3" t="s">
        <v>1465</v>
      </c>
      <c r="AA3" t="s">
        <v>387</v>
      </c>
      <c r="AB3" t="s">
        <v>388</v>
      </c>
      <c r="AC3" t="s">
        <v>80</v>
      </c>
      <c r="AD3" t="s">
        <v>112</v>
      </c>
      <c r="AE3" t="s">
        <v>54</v>
      </c>
      <c r="AF3" t="s">
        <v>54</v>
      </c>
      <c r="AG3" t="s">
        <v>54</v>
      </c>
      <c r="AH3" t="s">
        <v>76</v>
      </c>
      <c r="AI3" t="s">
        <v>389</v>
      </c>
      <c r="AJ3" t="s">
        <v>390</v>
      </c>
      <c r="AK3" t="s">
        <v>27</v>
      </c>
      <c r="AL3" t="s">
        <v>60</v>
      </c>
      <c r="AM3" t="s">
        <v>1465</v>
      </c>
      <c r="AN3" t="s">
        <v>391</v>
      </c>
      <c r="AO3" t="s">
        <v>392</v>
      </c>
      <c r="AP3" t="s">
        <v>393</v>
      </c>
      <c r="AQ3" t="s">
        <v>394</v>
      </c>
      <c r="AR3" t="s">
        <v>395</v>
      </c>
      <c r="AS3" t="s">
        <v>396</v>
      </c>
      <c r="AT3" t="s">
        <v>397</v>
      </c>
      <c r="AU3" t="s">
        <v>398</v>
      </c>
      <c r="AV3" t="s">
        <v>1465</v>
      </c>
      <c r="AW3" t="s">
        <v>1465</v>
      </c>
      <c r="AX3" t="s">
        <v>1465</v>
      </c>
      <c r="AY3" t="s">
        <v>1465</v>
      </c>
      <c r="AZ3" t="s">
        <v>1465</v>
      </c>
      <c r="BA3" t="s">
        <v>399</v>
      </c>
      <c r="BB3" t="s">
        <v>400</v>
      </c>
      <c r="BC3" t="s">
        <v>1465</v>
      </c>
      <c r="BD3" t="s">
        <v>1465</v>
      </c>
      <c r="BE3" t="s">
        <v>1465</v>
      </c>
      <c r="BF3" t="s">
        <v>1465</v>
      </c>
      <c r="BG3" t="s">
        <v>1465</v>
      </c>
      <c r="BH3" t="s">
        <v>1465</v>
      </c>
      <c r="BI3" t="s">
        <v>393</v>
      </c>
      <c r="BJ3" t="s">
        <v>401</v>
      </c>
      <c r="BK3" t="s">
        <v>402</v>
      </c>
      <c r="BL3" t="s">
        <v>1465</v>
      </c>
      <c r="BM3" t="s">
        <v>1465</v>
      </c>
      <c r="BN3" t="s">
        <v>1465</v>
      </c>
      <c r="BO3" t="s">
        <v>1465</v>
      </c>
    </row>
    <row r="4" spans="1:67" x14ac:dyDescent="0.3">
      <c r="A4" t="s">
        <v>1465</v>
      </c>
      <c r="B4" t="s">
        <v>162</v>
      </c>
      <c r="C4" t="s">
        <v>248</v>
      </c>
      <c r="D4" t="s">
        <v>248</v>
      </c>
      <c r="E4" t="s">
        <v>163</v>
      </c>
      <c r="F4" t="s">
        <v>58</v>
      </c>
      <c r="G4" t="s">
        <v>403</v>
      </c>
      <c r="H4" t="s">
        <v>1465</v>
      </c>
      <c r="I4" t="s">
        <v>376</v>
      </c>
      <c r="J4" t="s">
        <v>377</v>
      </c>
      <c r="K4" t="s">
        <v>378</v>
      </c>
      <c r="L4" t="s">
        <v>404</v>
      </c>
      <c r="M4" t="s">
        <v>35</v>
      </c>
      <c r="N4" t="s">
        <v>380</v>
      </c>
      <c r="O4" t="s">
        <v>405</v>
      </c>
      <c r="P4" t="s">
        <v>380</v>
      </c>
      <c r="Q4" t="s">
        <v>383</v>
      </c>
      <c r="R4" t="s">
        <v>1465</v>
      </c>
      <c r="S4" t="s">
        <v>406</v>
      </c>
      <c r="T4" t="s">
        <v>385</v>
      </c>
      <c r="U4" t="s">
        <v>248</v>
      </c>
      <c r="V4" t="s">
        <v>407</v>
      </c>
      <c r="W4" t="s">
        <v>385</v>
      </c>
      <c r="X4" t="s">
        <v>248</v>
      </c>
      <c r="Y4" t="s">
        <v>1465</v>
      </c>
      <c r="Z4" t="s">
        <v>1465</v>
      </c>
      <c r="AA4" t="s">
        <v>408</v>
      </c>
      <c r="AB4" t="s">
        <v>409</v>
      </c>
      <c r="AC4" t="s">
        <v>112</v>
      </c>
      <c r="AD4" t="s">
        <v>76</v>
      </c>
      <c r="AE4" t="s">
        <v>126</v>
      </c>
      <c r="AF4" t="s">
        <v>126</v>
      </c>
      <c r="AG4" t="s">
        <v>1501</v>
      </c>
      <c r="AH4" t="s">
        <v>80</v>
      </c>
      <c r="AI4" t="s">
        <v>1514</v>
      </c>
      <c r="AJ4" t="s">
        <v>390</v>
      </c>
      <c r="AK4" t="s">
        <v>52</v>
      </c>
      <c r="AL4" t="s">
        <v>150</v>
      </c>
      <c r="AM4" t="s">
        <v>1465</v>
      </c>
      <c r="AN4" t="s">
        <v>1541</v>
      </c>
      <c r="AO4" t="s">
        <v>1542</v>
      </c>
      <c r="AP4" t="s">
        <v>410</v>
      </c>
      <c r="AQ4" t="s">
        <v>411</v>
      </c>
      <c r="AR4" t="s">
        <v>412</v>
      </c>
      <c r="AS4" t="s">
        <v>413</v>
      </c>
      <c r="AT4" t="s">
        <v>414</v>
      </c>
      <c r="AU4" t="s">
        <v>398</v>
      </c>
      <c r="AV4" t="s">
        <v>1465</v>
      </c>
      <c r="AW4" t="s">
        <v>1465</v>
      </c>
      <c r="AX4" t="s">
        <v>1465</v>
      </c>
      <c r="AY4" t="s">
        <v>1465</v>
      </c>
      <c r="AZ4" t="s">
        <v>1465</v>
      </c>
      <c r="BA4" t="s">
        <v>399</v>
      </c>
      <c r="BB4" t="s">
        <v>415</v>
      </c>
      <c r="BC4" t="s">
        <v>1465</v>
      </c>
      <c r="BD4" t="s">
        <v>1465</v>
      </c>
      <c r="BE4" t="s">
        <v>1465</v>
      </c>
      <c r="BF4" t="s">
        <v>1465</v>
      </c>
      <c r="BG4" t="s">
        <v>1465</v>
      </c>
      <c r="BH4" t="s">
        <v>1465</v>
      </c>
      <c r="BI4" t="s">
        <v>410</v>
      </c>
      <c r="BJ4" t="s">
        <v>416</v>
      </c>
      <c r="BK4" t="s">
        <v>402</v>
      </c>
      <c r="BL4" t="s">
        <v>1465</v>
      </c>
      <c r="BM4" t="s">
        <v>1465</v>
      </c>
      <c r="BN4" t="s">
        <v>1465</v>
      </c>
      <c r="BO4" t="s">
        <v>1465</v>
      </c>
    </row>
    <row r="5" spans="1:67" x14ac:dyDescent="0.3">
      <c r="A5" t="s">
        <v>417</v>
      </c>
      <c r="B5" t="s">
        <v>69</v>
      </c>
      <c r="C5" t="s">
        <v>1465</v>
      </c>
      <c r="D5" t="s">
        <v>1465</v>
      </c>
      <c r="E5" t="s">
        <v>70</v>
      </c>
      <c r="F5" t="s">
        <v>58</v>
      </c>
      <c r="G5" t="s">
        <v>74</v>
      </c>
      <c r="H5" t="s">
        <v>1465</v>
      </c>
      <c r="I5" t="s">
        <v>418</v>
      </c>
      <c r="J5" t="s">
        <v>377</v>
      </c>
      <c r="K5" t="s">
        <v>378</v>
      </c>
      <c r="L5" t="s">
        <v>404</v>
      </c>
      <c r="M5" t="s">
        <v>35</v>
      </c>
      <c r="N5" t="s">
        <v>380</v>
      </c>
      <c r="O5" t="s">
        <v>419</v>
      </c>
      <c r="P5" t="s">
        <v>380</v>
      </c>
      <c r="Q5" t="s">
        <v>420</v>
      </c>
      <c r="R5" t="s">
        <v>1465</v>
      </c>
      <c r="S5" t="s">
        <v>421</v>
      </c>
      <c r="T5" t="s">
        <v>385</v>
      </c>
      <c r="U5" t="s">
        <v>248</v>
      </c>
      <c r="V5" t="s">
        <v>422</v>
      </c>
      <c r="W5" t="s">
        <v>385</v>
      </c>
      <c r="X5" t="s">
        <v>423</v>
      </c>
      <c r="Y5" t="s">
        <v>73</v>
      </c>
      <c r="Z5" t="s">
        <v>424</v>
      </c>
      <c r="AA5" t="s">
        <v>425</v>
      </c>
      <c r="AB5" t="s">
        <v>426</v>
      </c>
      <c r="AC5" t="s">
        <v>37</v>
      </c>
      <c r="AD5" t="s">
        <v>1465</v>
      </c>
      <c r="AE5" t="s">
        <v>51</v>
      </c>
      <c r="AF5" t="s">
        <v>1465</v>
      </c>
      <c r="AG5" t="s">
        <v>1465</v>
      </c>
      <c r="AH5" t="s">
        <v>51</v>
      </c>
      <c r="AI5" t="s">
        <v>427</v>
      </c>
      <c r="AJ5" t="s">
        <v>390</v>
      </c>
      <c r="AK5" t="s">
        <v>72</v>
      </c>
      <c r="AL5" t="s">
        <v>73</v>
      </c>
      <c r="AM5" t="s">
        <v>1465</v>
      </c>
      <c r="AN5" t="s">
        <v>1465</v>
      </c>
      <c r="AO5" t="s">
        <v>1465</v>
      </c>
      <c r="AP5" t="s">
        <v>428</v>
      </c>
      <c r="AQ5" t="s">
        <v>429</v>
      </c>
      <c r="AR5" t="s">
        <v>430</v>
      </c>
      <c r="AS5" t="s">
        <v>431</v>
      </c>
      <c r="AT5" t="s">
        <v>432</v>
      </c>
      <c r="AU5" t="s">
        <v>433</v>
      </c>
      <c r="AV5" t="s">
        <v>1465</v>
      </c>
      <c r="AW5" t="s">
        <v>1465</v>
      </c>
      <c r="AX5" t="s">
        <v>434</v>
      </c>
      <c r="AY5" t="s">
        <v>1465</v>
      </c>
      <c r="AZ5" t="s">
        <v>1465</v>
      </c>
      <c r="BA5" t="s">
        <v>435</v>
      </c>
      <c r="BB5" t="s">
        <v>436</v>
      </c>
      <c r="BC5" t="s">
        <v>1465</v>
      </c>
      <c r="BD5" t="s">
        <v>1465</v>
      </c>
      <c r="BE5" t="s">
        <v>1465</v>
      </c>
      <c r="BF5" t="s">
        <v>1465</v>
      </c>
      <c r="BG5" t="s">
        <v>1465</v>
      </c>
      <c r="BH5" t="s">
        <v>1465</v>
      </c>
      <c r="BI5" t="s">
        <v>437</v>
      </c>
      <c r="BJ5" t="s">
        <v>438</v>
      </c>
      <c r="BK5" t="s">
        <v>402</v>
      </c>
      <c r="BL5" t="s">
        <v>1465</v>
      </c>
      <c r="BM5" t="s">
        <v>1465</v>
      </c>
      <c r="BN5" t="s">
        <v>1465</v>
      </c>
      <c r="BO5" t="s">
        <v>1465</v>
      </c>
    </row>
    <row r="6" spans="1:67" x14ac:dyDescent="0.3">
      <c r="A6" t="s">
        <v>439</v>
      </c>
      <c r="B6" t="s">
        <v>440</v>
      </c>
      <c r="C6" t="s">
        <v>1465</v>
      </c>
      <c r="D6" t="s">
        <v>1465</v>
      </c>
      <c r="E6" t="s">
        <v>441</v>
      </c>
      <c r="F6" t="s">
        <v>243</v>
      </c>
      <c r="G6" t="s">
        <v>442</v>
      </c>
      <c r="H6" t="s">
        <v>443</v>
      </c>
      <c r="I6" t="s">
        <v>1465</v>
      </c>
      <c r="J6" t="s">
        <v>444</v>
      </c>
      <c r="K6" t="s">
        <v>445</v>
      </c>
      <c r="L6" t="s">
        <v>404</v>
      </c>
      <c r="M6" t="s">
        <v>35</v>
      </c>
      <c r="N6" t="s">
        <v>446</v>
      </c>
      <c r="O6" t="s">
        <v>447</v>
      </c>
      <c r="P6" t="s">
        <v>380</v>
      </c>
      <c r="Q6" t="s">
        <v>448</v>
      </c>
      <c r="R6" t="s">
        <v>1465</v>
      </c>
      <c r="S6" t="s">
        <v>1465</v>
      </c>
      <c r="T6" t="s">
        <v>1465</v>
      </c>
      <c r="U6" t="s">
        <v>1465</v>
      </c>
      <c r="V6" t="s">
        <v>1465</v>
      </c>
      <c r="W6" t="s">
        <v>1465</v>
      </c>
      <c r="X6" t="s">
        <v>1465</v>
      </c>
      <c r="Y6" t="s">
        <v>1465</v>
      </c>
      <c r="Z6" t="s">
        <v>1465</v>
      </c>
      <c r="AA6" t="s">
        <v>449</v>
      </c>
      <c r="AB6" t="s">
        <v>450</v>
      </c>
      <c r="AC6" t="s">
        <v>146</v>
      </c>
      <c r="AD6" t="s">
        <v>1465</v>
      </c>
      <c r="AE6" t="s">
        <v>451</v>
      </c>
      <c r="AF6" t="s">
        <v>1465</v>
      </c>
      <c r="AG6" t="s">
        <v>1465</v>
      </c>
      <c r="AH6" t="s">
        <v>76</v>
      </c>
      <c r="AI6" t="s">
        <v>427</v>
      </c>
      <c r="AJ6" t="s">
        <v>1465</v>
      </c>
      <c r="AK6" t="s">
        <v>1465</v>
      </c>
      <c r="AL6" t="s">
        <v>1465</v>
      </c>
      <c r="AM6" t="s">
        <v>1465</v>
      </c>
      <c r="AN6" t="s">
        <v>1465</v>
      </c>
      <c r="AO6" t="s">
        <v>1465</v>
      </c>
      <c r="AP6" t="s">
        <v>452</v>
      </c>
      <c r="AQ6" t="s">
        <v>453</v>
      </c>
      <c r="AR6" t="s">
        <v>454</v>
      </c>
      <c r="AS6" t="s">
        <v>455</v>
      </c>
      <c r="AT6" t="s">
        <v>456</v>
      </c>
      <c r="AU6" t="s">
        <v>444</v>
      </c>
      <c r="AV6" t="s">
        <v>1465</v>
      </c>
      <c r="AW6" t="s">
        <v>457</v>
      </c>
      <c r="AX6" t="s">
        <v>458</v>
      </c>
      <c r="AY6" t="s">
        <v>1465</v>
      </c>
      <c r="AZ6" t="s">
        <v>1465</v>
      </c>
      <c r="BA6" t="s">
        <v>459</v>
      </c>
      <c r="BB6" t="s">
        <v>460</v>
      </c>
      <c r="BC6" t="s">
        <v>1465</v>
      </c>
      <c r="BD6" t="s">
        <v>1465</v>
      </c>
      <c r="BE6" t="s">
        <v>1465</v>
      </c>
      <c r="BF6" t="s">
        <v>1465</v>
      </c>
      <c r="BG6" t="s">
        <v>1465</v>
      </c>
      <c r="BH6" t="s">
        <v>1465</v>
      </c>
      <c r="BI6" t="s">
        <v>452</v>
      </c>
      <c r="BJ6" t="s">
        <v>461</v>
      </c>
      <c r="BK6" t="s">
        <v>462</v>
      </c>
      <c r="BL6" t="s">
        <v>1465</v>
      </c>
      <c r="BM6" t="s">
        <v>1465</v>
      </c>
      <c r="BN6" t="s">
        <v>1465</v>
      </c>
      <c r="BO6" t="s">
        <v>1465</v>
      </c>
    </row>
    <row r="7" spans="1:67" x14ac:dyDescent="0.3">
      <c r="A7" t="s">
        <v>463</v>
      </c>
      <c r="B7" t="s">
        <v>77</v>
      </c>
      <c r="C7" t="s">
        <v>248</v>
      </c>
      <c r="D7" t="s">
        <v>248</v>
      </c>
      <c r="E7" t="s">
        <v>464</v>
      </c>
      <c r="F7" t="s">
        <v>43</v>
      </c>
      <c r="G7" t="s">
        <v>403</v>
      </c>
      <c r="H7" t="s">
        <v>465</v>
      </c>
      <c r="I7" t="s">
        <v>466</v>
      </c>
      <c r="J7" t="s">
        <v>467</v>
      </c>
      <c r="K7" t="s">
        <v>445</v>
      </c>
      <c r="L7" t="s">
        <v>404</v>
      </c>
      <c r="M7" t="s">
        <v>35</v>
      </c>
      <c r="N7" t="s">
        <v>382</v>
      </c>
      <c r="O7" t="s">
        <v>468</v>
      </c>
      <c r="P7" t="s">
        <v>469</v>
      </c>
      <c r="Q7" t="s">
        <v>420</v>
      </c>
      <c r="R7" t="s">
        <v>1465</v>
      </c>
      <c r="S7" t="s">
        <v>470</v>
      </c>
      <c r="T7" t="s">
        <v>385</v>
      </c>
      <c r="U7" t="s">
        <v>248</v>
      </c>
      <c r="V7" t="s">
        <v>471</v>
      </c>
      <c r="W7" t="s">
        <v>72</v>
      </c>
      <c r="X7" t="s">
        <v>471</v>
      </c>
      <c r="Y7" t="s">
        <v>72</v>
      </c>
      <c r="Z7" t="s">
        <v>1515</v>
      </c>
      <c r="AA7" t="s">
        <v>472</v>
      </c>
      <c r="AB7" t="s">
        <v>473</v>
      </c>
      <c r="AC7" t="s">
        <v>37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427</v>
      </c>
      <c r="AJ7" t="s">
        <v>390</v>
      </c>
      <c r="AK7" t="s">
        <v>67</v>
      </c>
      <c r="AL7" t="s">
        <v>72</v>
      </c>
      <c r="AM7" t="s">
        <v>1465</v>
      </c>
      <c r="AN7" t="s">
        <v>1541</v>
      </c>
      <c r="AO7" t="s">
        <v>1543</v>
      </c>
      <c r="AP7" t="s">
        <v>474</v>
      </c>
      <c r="AQ7" t="s">
        <v>475</v>
      </c>
      <c r="AR7" t="s">
        <v>476</v>
      </c>
      <c r="AS7" t="s">
        <v>477</v>
      </c>
      <c r="AT7" t="s">
        <v>478</v>
      </c>
      <c r="AU7" t="s">
        <v>479</v>
      </c>
      <c r="AV7" t="s">
        <v>1465</v>
      </c>
      <c r="AW7" t="s">
        <v>1465</v>
      </c>
      <c r="AX7" t="s">
        <v>1465</v>
      </c>
      <c r="AY7" t="s">
        <v>1465</v>
      </c>
      <c r="AZ7" t="s">
        <v>1465</v>
      </c>
      <c r="BA7" t="s">
        <v>480</v>
      </c>
      <c r="BB7" t="s">
        <v>481</v>
      </c>
      <c r="BC7" t="s">
        <v>1465</v>
      </c>
      <c r="BD7" t="s">
        <v>1465</v>
      </c>
      <c r="BE7" t="s">
        <v>1465</v>
      </c>
      <c r="BF7" t="s">
        <v>1465</v>
      </c>
      <c r="BG7" t="s">
        <v>1465</v>
      </c>
      <c r="BH7" t="s">
        <v>1465</v>
      </c>
      <c r="BI7" t="s">
        <v>482</v>
      </c>
      <c r="BJ7" t="s">
        <v>483</v>
      </c>
      <c r="BK7" t="s">
        <v>402</v>
      </c>
      <c r="BL7" t="s">
        <v>1465</v>
      </c>
      <c r="BM7" t="s">
        <v>1465</v>
      </c>
      <c r="BN7" t="s">
        <v>1465</v>
      </c>
      <c r="BO7" t="s">
        <v>1465</v>
      </c>
    </row>
    <row r="8" spans="1:67" x14ac:dyDescent="0.3">
      <c r="A8" t="s">
        <v>484</v>
      </c>
      <c r="B8" t="s">
        <v>41</v>
      </c>
      <c r="C8" t="s">
        <v>248</v>
      </c>
      <c r="D8" t="s">
        <v>248</v>
      </c>
      <c r="E8" t="s">
        <v>42</v>
      </c>
      <c r="F8" t="s">
        <v>43</v>
      </c>
      <c r="G8" t="s">
        <v>36</v>
      </c>
      <c r="H8" t="s">
        <v>1465</v>
      </c>
      <c r="I8" t="s">
        <v>485</v>
      </c>
      <c r="J8" t="s">
        <v>467</v>
      </c>
      <c r="K8" t="s">
        <v>445</v>
      </c>
      <c r="L8" t="s">
        <v>404</v>
      </c>
      <c r="M8" t="s">
        <v>35</v>
      </c>
      <c r="N8" t="s">
        <v>382</v>
      </c>
      <c r="O8" t="s">
        <v>486</v>
      </c>
      <c r="P8" t="s">
        <v>469</v>
      </c>
      <c r="Q8" t="s">
        <v>420</v>
      </c>
      <c r="R8" t="s">
        <v>1465</v>
      </c>
      <c r="S8" t="s">
        <v>487</v>
      </c>
      <c r="T8" t="s">
        <v>385</v>
      </c>
      <c r="U8" t="s">
        <v>488</v>
      </c>
      <c r="V8" t="s">
        <v>489</v>
      </c>
      <c r="W8" t="s">
        <v>385</v>
      </c>
      <c r="X8" t="s">
        <v>490</v>
      </c>
      <c r="Y8" t="s">
        <v>45</v>
      </c>
      <c r="Z8" t="s">
        <v>1515</v>
      </c>
      <c r="AA8" t="s">
        <v>491</v>
      </c>
      <c r="AB8" t="s">
        <v>492</v>
      </c>
      <c r="AC8" t="s">
        <v>37</v>
      </c>
      <c r="AD8" t="s">
        <v>76</v>
      </c>
      <c r="AE8" t="s">
        <v>44</v>
      </c>
      <c r="AF8" t="s">
        <v>44</v>
      </c>
      <c r="AG8" t="s">
        <v>44</v>
      </c>
      <c r="AH8" t="s">
        <v>76</v>
      </c>
      <c r="AI8" t="s">
        <v>389</v>
      </c>
      <c r="AJ8" t="s">
        <v>390</v>
      </c>
      <c r="AK8" t="s">
        <v>27</v>
      </c>
      <c r="AL8" t="s">
        <v>45</v>
      </c>
      <c r="AM8" t="s">
        <v>1465</v>
      </c>
      <c r="AN8" t="s">
        <v>1516</v>
      </c>
      <c r="AO8" t="s">
        <v>1517</v>
      </c>
      <c r="AP8" t="s">
        <v>493</v>
      </c>
      <c r="AQ8" t="s">
        <v>494</v>
      </c>
      <c r="AR8" t="s">
        <v>495</v>
      </c>
      <c r="AS8" t="s">
        <v>496</v>
      </c>
      <c r="AT8" t="s">
        <v>497</v>
      </c>
      <c r="AU8" t="s">
        <v>498</v>
      </c>
      <c r="AV8" t="s">
        <v>1465</v>
      </c>
      <c r="AW8" t="s">
        <v>1465</v>
      </c>
      <c r="AX8" t="s">
        <v>1465</v>
      </c>
      <c r="AY8" t="s">
        <v>1465</v>
      </c>
      <c r="AZ8" t="s">
        <v>1465</v>
      </c>
      <c r="BA8" t="s">
        <v>459</v>
      </c>
      <c r="BB8" t="s">
        <v>499</v>
      </c>
      <c r="BC8" t="s">
        <v>1465</v>
      </c>
      <c r="BD8" t="s">
        <v>1465</v>
      </c>
      <c r="BE8" t="s">
        <v>1465</v>
      </c>
      <c r="BF8" t="s">
        <v>1465</v>
      </c>
      <c r="BG8" t="s">
        <v>1465</v>
      </c>
      <c r="BH8" t="s">
        <v>1465</v>
      </c>
      <c r="BI8" t="s">
        <v>500</v>
      </c>
      <c r="BJ8" t="s">
        <v>501</v>
      </c>
      <c r="BK8" t="s">
        <v>402</v>
      </c>
      <c r="BL8" t="s">
        <v>1465</v>
      </c>
      <c r="BM8" t="s">
        <v>1465</v>
      </c>
      <c r="BN8" t="s">
        <v>1465</v>
      </c>
      <c r="BO8" t="s">
        <v>1465</v>
      </c>
    </row>
    <row r="9" spans="1:67" x14ac:dyDescent="0.3">
      <c r="A9" t="s">
        <v>502</v>
      </c>
      <c r="B9" t="s">
        <v>89</v>
      </c>
      <c r="C9" t="s">
        <v>248</v>
      </c>
      <c r="D9" t="s">
        <v>248</v>
      </c>
      <c r="E9" t="s">
        <v>90</v>
      </c>
      <c r="F9" t="s">
        <v>43</v>
      </c>
      <c r="G9" t="s">
        <v>403</v>
      </c>
      <c r="H9" t="s">
        <v>503</v>
      </c>
      <c r="I9" t="s">
        <v>485</v>
      </c>
      <c r="J9" t="s">
        <v>467</v>
      </c>
      <c r="K9" t="s">
        <v>445</v>
      </c>
      <c r="L9" t="s">
        <v>404</v>
      </c>
      <c r="M9" t="s">
        <v>35</v>
      </c>
      <c r="N9" t="s">
        <v>380</v>
      </c>
      <c r="O9" t="s">
        <v>504</v>
      </c>
      <c r="P9" t="s">
        <v>505</v>
      </c>
      <c r="Q9" t="s">
        <v>420</v>
      </c>
      <c r="R9" t="s">
        <v>1465</v>
      </c>
      <c r="S9" t="s">
        <v>506</v>
      </c>
      <c r="T9" t="s">
        <v>385</v>
      </c>
      <c r="U9" t="s">
        <v>248</v>
      </c>
      <c r="V9" t="s">
        <v>507</v>
      </c>
      <c r="W9" t="s">
        <v>385</v>
      </c>
      <c r="X9" t="s">
        <v>1497</v>
      </c>
      <c r="Y9" t="s">
        <v>1498</v>
      </c>
      <c r="Z9" t="s">
        <v>424</v>
      </c>
      <c r="AA9" t="s">
        <v>508</v>
      </c>
      <c r="AB9" t="s">
        <v>509</v>
      </c>
      <c r="AC9" t="s">
        <v>37</v>
      </c>
      <c r="AD9" t="s">
        <v>76</v>
      </c>
      <c r="AE9" t="s">
        <v>51</v>
      </c>
      <c r="AF9" t="s">
        <v>146</v>
      </c>
      <c r="AG9" t="s">
        <v>112</v>
      </c>
      <c r="AH9" t="s">
        <v>107</v>
      </c>
      <c r="AI9" t="s">
        <v>1544</v>
      </c>
      <c r="AJ9" t="s">
        <v>390</v>
      </c>
      <c r="AK9" t="s">
        <v>91</v>
      </c>
      <c r="AL9" t="s">
        <v>92</v>
      </c>
      <c r="AM9" t="s">
        <v>1465</v>
      </c>
      <c r="AN9" t="s">
        <v>1465</v>
      </c>
      <c r="AO9" t="s">
        <v>1465</v>
      </c>
      <c r="AP9" t="s">
        <v>510</v>
      </c>
      <c r="AQ9" t="s">
        <v>511</v>
      </c>
      <c r="AR9" t="s">
        <v>512</v>
      </c>
      <c r="AS9" t="s">
        <v>513</v>
      </c>
      <c r="AT9" t="s">
        <v>514</v>
      </c>
      <c r="AU9" t="s">
        <v>498</v>
      </c>
      <c r="AV9" t="s">
        <v>1465</v>
      </c>
      <c r="AW9" t="s">
        <v>1465</v>
      </c>
      <c r="AX9" t="s">
        <v>457</v>
      </c>
      <c r="AY9" t="s">
        <v>1465</v>
      </c>
      <c r="AZ9" t="s">
        <v>1465</v>
      </c>
      <c r="BA9" t="s">
        <v>459</v>
      </c>
      <c r="BB9" t="s">
        <v>515</v>
      </c>
      <c r="BC9" t="s">
        <v>1465</v>
      </c>
      <c r="BD9" t="s">
        <v>1465</v>
      </c>
      <c r="BE9" t="s">
        <v>1465</v>
      </c>
      <c r="BF9" t="s">
        <v>1465</v>
      </c>
      <c r="BG9" t="s">
        <v>1465</v>
      </c>
      <c r="BH9" t="s">
        <v>1465</v>
      </c>
      <c r="BI9" t="s">
        <v>510</v>
      </c>
      <c r="BJ9" t="s">
        <v>516</v>
      </c>
      <c r="BK9" t="s">
        <v>402</v>
      </c>
      <c r="BL9" t="s">
        <v>1465</v>
      </c>
      <c r="BM9" t="s">
        <v>1466</v>
      </c>
      <c r="BN9" t="s">
        <v>1465</v>
      </c>
      <c r="BO9" t="s">
        <v>1465</v>
      </c>
    </row>
    <row r="10" spans="1:67" x14ac:dyDescent="0.3">
      <c r="A10" t="s">
        <v>517</v>
      </c>
      <c r="B10" t="s">
        <v>93</v>
      </c>
      <c r="C10" t="s">
        <v>1465</v>
      </c>
      <c r="D10" t="s">
        <v>1465</v>
      </c>
      <c r="E10" t="s">
        <v>94</v>
      </c>
      <c r="F10" t="s">
        <v>43</v>
      </c>
      <c r="G10" t="s">
        <v>403</v>
      </c>
      <c r="H10" t="s">
        <v>518</v>
      </c>
      <c r="I10" t="s">
        <v>485</v>
      </c>
      <c r="J10" t="s">
        <v>467</v>
      </c>
      <c r="K10" t="s">
        <v>445</v>
      </c>
      <c r="L10" t="s">
        <v>404</v>
      </c>
      <c r="M10" t="s">
        <v>35</v>
      </c>
      <c r="N10" t="s">
        <v>505</v>
      </c>
      <c r="O10" t="s">
        <v>504</v>
      </c>
      <c r="P10" t="s">
        <v>505</v>
      </c>
      <c r="Q10" t="s">
        <v>420</v>
      </c>
      <c r="R10" t="s">
        <v>1465</v>
      </c>
      <c r="S10" t="s">
        <v>519</v>
      </c>
      <c r="T10" t="s">
        <v>385</v>
      </c>
      <c r="U10" t="s">
        <v>248</v>
      </c>
      <c r="V10" t="s">
        <v>520</v>
      </c>
      <c r="W10" t="s">
        <v>385</v>
      </c>
      <c r="X10" t="s">
        <v>248</v>
      </c>
      <c r="Y10" t="s">
        <v>1465</v>
      </c>
      <c r="Z10" t="s">
        <v>1465</v>
      </c>
      <c r="AA10" t="s">
        <v>521</v>
      </c>
      <c r="AB10" t="s">
        <v>522</v>
      </c>
      <c r="AC10" t="s">
        <v>37</v>
      </c>
      <c r="AD10" t="s">
        <v>1465</v>
      </c>
      <c r="AE10" t="s">
        <v>65</v>
      </c>
      <c r="AF10" t="s">
        <v>88</v>
      </c>
      <c r="AG10" t="s">
        <v>1465</v>
      </c>
      <c r="AH10" t="s">
        <v>65</v>
      </c>
      <c r="AI10" t="s">
        <v>427</v>
      </c>
      <c r="AJ10" t="s">
        <v>390</v>
      </c>
      <c r="AK10" t="s">
        <v>96</v>
      </c>
      <c r="AL10" t="s">
        <v>97</v>
      </c>
      <c r="AM10" t="s">
        <v>1465</v>
      </c>
      <c r="AN10" t="s">
        <v>1465</v>
      </c>
      <c r="AO10" t="s">
        <v>1465</v>
      </c>
      <c r="AP10" t="s">
        <v>510</v>
      </c>
      <c r="AQ10" t="s">
        <v>511</v>
      </c>
      <c r="AR10" t="s">
        <v>512</v>
      </c>
      <c r="AS10" t="s">
        <v>523</v>
      </c>
      <c r="AT10" t="s">
        <v>524</v>
      </c>
      <c r="AU10" t="s">
        <v>498</v>
      </c>
      <c r="AV10" t="s">
        <v>1465</v>
      </c>
      <c r="AW10" t="s">
        <v>1465</v>
      </c>
      <c r="AX10" t="s">
        <v>434</v>
      </c>
      <c r="AY10" t="s">
        <v>1465</v>
      </c>
      <c r="AZ10" t="s">
        <v>1465</v>
      </c>
      <c r="BA10" t="s">
        <v>459</v>
      </c>
      <c r="BB10" t="s">
        <v>525</v>
      </c>
      <c r="BC10" t="s">
        <v>1465</v>
      </c>
      <c r="BD10" t="s">
        <v>1465</v>
      </c>
      <c r="BE10" t="s">
        <v>1465</v>
      </c>
      <c r="BF10" t="s">
        <v>1465</v>
      </c>
      <c r="BG10" t="s">
        <v>1465</v>
      </c>
      <c r="BH10" t="s">
        <v>1465</v>
      </c>
      <c r="BI10" t="s">
        <v>526</v>
      </c>
      <c r="BJ10" t="s">
        <v>527</v>
      </c>
      <c r="BK10" t="s">
        <v>402</v>
      </c>
      <c r="BL10" t="s">
        <v>1465</v>
      </c>
      <c r="BM10" t="s">
        <v>1465</v>
      </c>
      <c r="BN10" t="s">
        <v>1465</v>
      </c>
      <c r="BO10" t="s">
        <v>1465</v>
      </c>
    </row>
    <row r="11" spans="1:67" x14ac:dyDescent="0.3">
      <c r="A11" t="s">
        <v>528</v>
      </c>
      <c r="B11" t="s">
        <v>529</v>
      </c>
      <c r="C11" t="s">
        <v>248</v>
      </c>
      <c r="D11" t="s">
        <v>248</v>
      </c>
      <c r="E11" t="s">
        <v>530</v>
      </c>
      <c r="F11" t="s">
        <v>100</v>
      </c>
      <c r="G11" t="s">
        <v>442</v>
      </c>
      <c r="H11" t="s">
        <v>531</v>
      </c>
      <c r="I11" t="s">
        <v>1465</v>
      </c>
      <c r="J11" t="s">
        <v>444</v>
      </c>
      <c r="K11" t="s">
        <v>532</v>
      </c>
      <c r="L11" t="s">
        <v>533</v>
      </c>
      <c r="M11" t="s">
        <v>534</v>
      </c>
      <c r="N11" t="s">
        <v>535</v>
      </c>
      <c r="O11" t="s">
        <v>536</v>
      </c>
      <c r="P11" t="s">
        <v>1465</v>
      </c>
      <c r="Q11" t="s">
        <v>1465</v>
      </c>
      <c r="R11" t="s">
        <v>1465</v>
      </c>
      <c r="S11" t="s">
        <v>1465</v>
      </c>
      <c r="T11" t="s">
        <v>1465</v>
      </c>
      <c r="U11" t="s">
        <v>1465</v>
      </c>
      <c r="V11" t="s">
        <v>1465</v>
      </c>
      <c r="W11" t="s">
        <v>1465</v>
      </c>
      <c r="X11" t="s">
        <v>1465</v>
      </c>
      <c r="Y11" t="s">
        <v>1465</v>
      </c>
      <c r="Z11" t="s">
        <v>1465</v>
      </c>
      <c r="AA11" t="s">
        <v>537</v>
      </c>
      <c r="AB11" t="s">
        <v>538</v>
      </c>
      <c r="AC11" t="s">
        <v>76</v>
      </c>
      <c r="AD11" t="s">
        <v>76</v>
      </c>
      <c r="AE11" t="s">
        <v>186</v>
      </c>
      <c r="AF11" t="s">
        <v>1465</v>
      </c>
      <c r="AG11" t="s">
        <v>1465</v>
      </c>
      <c r="AH11" t="s">
        <v>186</v>
      </c>
      <c r="AI11" t="s">
        <v>427</v>
      </c>
      <c r="AJ11" t="s">
        <v>1465</v>
      </c>
      <c r="AK11" t="s">
        <v>1465</v>
      </c>
      <c r="AL11" t="s">
        <v>1465</v>
      </c>
      <c r="AM11" t="s">
        <v>1465</v>
      </c>
      <c r="AN11" t="s">
        <v>1465</v>
      </c>
      <c r="AO11" t="s">
        <v>1465</v>
      </c>
      <c r="AP11" t="s">
        <v>539</v>
      </c>
      <c r="AQ11" t="s">
        <v>540</v>
      </c>
      <c r="AR11" t="s">
        <v>541</v>
      </c>
      <c r="AS11" t="s">
        <v>542</v>
      </c>
      <c r="AT11" t="s">
        <v>543</v>
      </c>
      <c r="AU11" t="s">
        <v>444</v>
      </c>
      <c r="AV11" t="s">
        <v>1465</v>
      </c>
      <c r="AW11" t="s">
        <v>1465</v>
      </c>
      <c r="AX11" t="s">
        <v>1465</v>
      </c>
      <c r="AY11" t="s">
        <v>1465</v>
      </c>
      <c r="AZ11" t="s">
        <v>1465</v>
      </c>
      <c r="BA11" t="s">
        <v>544</v>
      </c>
      <c r="BB11" t="s">
        <v>545</v>
      </c>
      <c r="BC11" t="s">
        <v>1465</v>
      </c>
      <c r="BD11" t="s">
        <v>1465</v>
      </c>
      <c r="BE11" t="s">
        <v>1465</v>
      </c>
      <c r="BF11" t="s">
        <v>1465</v>
      </c>
      <c r="BG11" t="s">
        <v>1465</v>
      </c>
      <c r="BH11" t="s">
        <v>1465</v>
      </c>
      <c r="BI11" t="s">
        <v>546</v>
      </c>
      <c r="BJ11" t="s">
        <v>547</v>
      </c>
      <c r="BK11" t="s">
        <v>462</v>
      </c>
      <c r="BL11" t="s">
        <v>1465</v>
      </c>
      <c r="BM11" t="s">
        <v>1465</v>
      </c>
      <c r="BN11" t="s">
        <v>1465</v>
      </c>
      <c r="BO11" t="s">
        <v>1465</v>
      </c>
    </row>
    <row r="12" spans="1:67" x14ac:dyDescent="0.3">
      <c r="A12" t="s">
        <v>548</v>
      </c>
      <c r="B12" t="s">
        <v>98</v>
      </c>
      <c r="C12" t="s">
        <v>1545</v>
      </c>
      <c r="D12" t="s">
        <v>1546</v>
      </c>
      <c r="E12" t="s">
        <v>99</v>
      </c>
      <c r="F12" t="s">
        <v>100</v>
      </c>
      <c r="G12" t="s">
        <v>403</v>
      </c>
      <c r="H12" t="s">
        <v>1465</v>
      </c>
      <c r="I12" t="s">
        <v>485</v>
      </c>
      <c r="J12" t="s">
        <v>467</v>
      </c>
      <c r="K12" t="s">
        <v>532</v>
      </c>
      <c r="L12" t="s">
        <v>1540</v>
      </c>
      <c r="M12" t="s">
        <v>35</v>
      </c>
      <c r="N12" t="s">
        <v>535</v>
      </c>
      <c r="O12" t="s">
        <v>551</v>
      </c>
      <c r="P12" t="s">
        <v>505</v>
      </c>
      <c r="Q12" t="s">
        <v>420</v>
      </c>
      <c r="R12" t="s">
        <v>1465</v>
      </c>
      <c r="S12" t="s">
        <v>552</v>
      </c>
      <c r="T12" t="s">
        <v>385</v>
      </c>
      <c r="U12" t="s">
        <v>248</v>
      </c>
      <c r="V12" t="s">
        <v>553</v>
      </c>
      <c r="W12" t="s">
        <v>385</v>
      </c>
      <c r="X12" t="s">
        <v>248</v>
      </c>
      <c r="Y12" t="s">
        <v>1465</v>
      </c>
      <c r="Z12" t="s">
        <v>1465</v>
      </c>
      <c r="AA12" t="s">
        <v>554</v>
      </c>
      <c r="AB12" t="s">
        <v>555</v>
      </c>
      <c r="AC12" t="s">
        <v>37</v>
      </c>
      <c r="AD12" t="s">
        <v>37</v>
      </c>
      <c r="AE12" t="s">
        <v>65</v>
      </c>
      <c r="AF12" t="s">
        <v>37</v>
      </c>
      <c r="AG12" t="s">
        <v>1465</v>
      </c>
      <c r="AH12" t="s">
        <v>65</v>
      </c>
      <c r="AI12" t="s">
        <v>427</v>
      </c>
      <c r="AJ12" t="s">
        <v>390</v>
      </c>
      <c r="AK12" t="s">
        <v>102</v>
      </c>
      <c r="AL12" t="s">
        <v>28</v>
      </c>
      <c r="AM12" t="s">
        <v>1465</v>
      </c>
      <c r="AN12" t="s">
        <v>1465</v>
      </c>
      <c r="AO12" t="s">
        <v>1465</v>
      </c>
      <c r="AP12" t="s">
        <v>556</v>
      </c>
      <c r="AQ12" t="s">
        <v>557</v>
      </c>
      <c r="AR12" t="s">
        <v>558</v>
      </c>
      <c r="AS12" t="s">
        <v>559</v>
      </c>
      <c r="AT12" t="s">
        <v>560</v>
      </c>
      <c r="AU12" t="s">
        <v>498</v>
      </c>
      <c r="AV12" t="s">
        <v>1465</v>
      </c>
      <c r="AW12" t="s">
        <v>561</v>
      </c>
      <c r="AX12" t="s">
        <v>1465</v>
      </c>
      <c r="AY12" t="s">
        <v>1465</v>
      </c>
      <c r="AZ12" t="s">
        <v>1465</v>
      </c>
      <c r="BA12" t="s">
        <v>562</v>
      </c>
      <c r="BB12" t="s">
        <v>563</v>
      </c>
      <c r="BC12" t="s">
        <v>1465</v>
      </c>
      <c r="BD12" t="s">
        <v>1465</v>
      </c>
      <c r="BE12" t="s">
        <v>1465</v>
      </c>
      <c r="BF12" t="s">
        <v>1465</v>
      </c>
      <c r="BG12" t="s">
        <v>1465</v>
      </c>
      <c r="BH12" t="s">
        <v>1465</v>
      </c>
      <c r="BI12" t="s">
        <v>556</v>
      </c>
      <c r="BJ12" t="s">
        <v>564</v>
      </c>
      <c r="BK12" t="s">
        <v>402</v>
      </c>
      <c r="BL12" t="s">
        <v>1465</v>
      </c>
      <c r="BM12" t="s">
        <v>1465</v>
      </c>
      <c r="BN12" t="s">
        <v>1465</v>
      </c>
      <c r="BO12" t="s">
        <v>1465</v>
      </c>
    </row>
    <row r="13" spans="1:67" x14ac:dyDescent="0.3">
      <c r="A13" t="s">
        <v>565</v>
      </c>
      <c r="B13" t="s">
        <v>128</v>
      </c>
      <c r="C13" t="s">
        <v>1465</v>
      </c>
      <c r="D13" t="s">
        <v>1465</v>
      </c>
      <c r="E13" t="s">
        <v>129</v>
      </c>
      <c r="F13" t="s">
        <v>34</v>
      </c>
      <c r="G13" t="s">
        <v>403</v>
      </c>
      <c r="H13" t="s">
        <v>1465</v>
      </c>
      <c r="I13" t="s">
        <v>566</v>
      </c>
      <c r="J13" t="s">
        <v>467</v>
      </c>
      <c r="K13" t="s">
        <v>532</v>
      </c>
      <c r="L13" t="s">
        <v>404</v>
      </c>
      <c r="M13" t="s">
        <v>35</v>
      </c>
      <c r="N13" t="s">
        <v>446</v>
      </c>
      <c r="O13" t="s">
        <v>567</v>
      </c>
      <c r="P13" t="s">
        <v>380</v>
      </c>
      <c r="Q13" t="s">
        <v>420</v>
      </c>
      <c r="R13" t="s">
        <v>1465</v>
      </c>
      <c r="S13" t="s">
        <v>568</v>
      </c>
      <c r="T13" t="s">
        <v>385</v>
      </c>
      <c r="U13" t="s">
        <v>248</v>
      </c>
      <c r="V13" t="s">
        <v>569</v>
      </c>
      <c r="W13" t="s">
        <v>385</v>
      </c>
      <c r="X13" t="s">
        <v>570</v>
      </c>
      <c r="Y13" t="s">
        <v>96</v>
      </c>
      <c r="Z13" t="s">
        <v>424</v>
      </c>
      <c r="AA13" t="s">
        <v>571</v>
      </c>
      <c r="AB13" t="s">
        <v>572</v>
      </c>
      <c r="AC13" t="s">
        <v>76</v>
      </c>
      <c r="AD13" t="s">
        <v>1465</v>
      </c>
      <c r="AE13" t="s">
        <v>65</v>
      </c>
      <c r="AF13" t="s">
        <v>65</v>
      </c>
      <c r="AG13" t="s">
        <v>65</v>
      </c>
      <c r="AH13" t="s">
        <v>76</v>
      </c>
      <c r="AI13" t="s">
        <v>389</v>
      </c>
      <c r="AJ13" t="s">
        <v>390</v>
      </c>
      <c r="AK13" t="s">
        <v>60</v>
      </c>
      <c r="AL13" t="s">
        <v>45</v>
      </c>
      <c r="AM13" t="s">
        <v>1465</v>
      </c>
      <c r="AN13" t="s">
        <v>1465</v>
      </c>
      <c r="AO13" t="s">
        <v>1465</v>
      </c>
      <c r="AP13" t="s">
        <v>573</v>
      </c>
      <c r="AQ13" t="s">
        <v>574</v>
      </c>
      <c r="AR13" t="s">
        <v>575</v>
      </c>
      <c r="AS13" t="s">
        <v>576</v>
      </c>
      <c r="AT13" t="s">
        <v>577</v>
      </c>
      <c r="AU13" t="s">
        <v>578</v>
      </c>
      <c r="AV13" t="s">
        <v>1465</v>
      </c>
      <c r="AW13" t="s">
        <v>1465</v>
      </c>
      <c r="AX13" t="s">
        <v>579</v>
      </c>
      <c r="AY13" t="s">
        <v>1465</v>
      </c>
      <c r="AZ13" t="s">
        <v>1465</v>
      </c>
      <c r="BA13" t="s">
        <v>580</v>
      </c>
      <c r="BB13" t="s">
        <v>581</v>
      </c>
      <c r="BC13" t="s">
        <v>1465</v>
      </c>
      <c r="BD13" t="s">
        <v>1465</v>
      </c>
      <c r="BE13" t="s">
        <v>1465</v>
      </c>
      <c r="BF13" t="s">
        <v>1465</v>
      </c>
      <c r="BG13" t="s">
        <v>1465</v>
      </c>
      <c r="BH13" t="s">
        <v>1465</v>
      </c>
      <c r="BI13" t="s">
        <v>573</v>
      </c>
      <c r="BJ13" t="s">
        <v>582</v>
      </c>
      <c r="BK13" t="s">
        <v>402</v>
      </c>
      <c r="BL13" t="s">
        <v>1465</v>
      </c>
      <c r="BM13" t="s">
        <v>1465</v>
      </c>
      <c r="BN13" t="s">
        <v>1465</v>
      </c>
      <c r="BO13" t="s">
        <v>1465</v>
      </c>
    </row>
    <row r="14" spans="1:67" x14ac:dyDescent="0.3">
      <c r="A14" t="s">
        <v>583</v>
      </c>
      <c r="B14" t="s">
        <v>32</v>
      </c>
      <c r="C14" t="s">
        <v>248</v>
      </c>
      <c r="D14" t="s">
        <v>248</v>
      </c>
      <c r="E14" t="s">
        <v>33</v>
      </c>
      <c r="F14" t="s">
        <v>34</v>
      </c>
      <c r="G14" t="s">
        <v>36</v>
      </c>
      <c r="H14" t="s">
        <v>584</v>
      </c>
      <c r="I14" t="s">
        <v>466</v>
      </c>
      <c r="J14" t="s">
        <v>467</v>
      </c>
      <c r="K14" t="s">
        <v>532</v>
      </c>
      <c r="L14" t="s">
        <v>404</v>
      </c>
      <c r="M14" t="s">
        <v>50</v>
      </c>
      <c r="N14" t="s">
        <v>585</v>
      </c>
      <c r="O14" t="s">
        <v>586</v>
      </c>
      <c r="P14" t="s">
        <v>585</v>
      </c>
      <c r="Q14" t="s">
        <v>587</v>
      </c>
      <c r="R14" t="s">
        <v>1465</v>
      </c>
      <c r="S14" t="s">
        <v>588</v>
      </c>
      <c r="T14" t="s">
        <v>385</v>
      </c>
      <c r="U14" t="s">
        <v>248</v>
      </c>
      <c r="V14" t="s">
        <v>589</v>
      </c>
      <c r="W14" t="s">
        <v>385</v>
      </c>
      <c r="X14" t="s">
        <v>248</v>
      </c>
      <c r="Y14" t="s">
        <v>1465</v>
      </c>
      <c r="Z14" t="s">
        <v>1465</v>
      </c>
      <c r="AA14" t="s">
        <v>1465</v>
      </c>
      <c r="AB14" t="s">
        <v>1465</v>
      </c>
      <c r="AC14" t="s">
        <v>76</v>
      </c>
      <c r="AD14" t="s">
        <v>76</v>
      </c>
      <c r="AE14" t="s">
        <v>37</v>
      </c>
      <c r="AF14" t="s">
        <v>37</v>
      </c>
      <c r="AG14" t="s">
        <v>37</v>
      </c>
      <c r="AH14" t="s">
        <v>76</v>
      </c>
      <c r="AI14" t="s">
        <v>389</v>
      </c>
      <c r="AJ14" t="s">
        <v>390</v>
      </c>
      <c r="AK14" t="s">
        <v>27</v>
      </c>
      <c r="AL14" t="s">
        <v>27</v>
      </c>
      <c r="AM14" t="s">
        <v>1465</v>
      </c>
      <c r="AN14" t="s">
        <v>590</v>
      </c>
      <c r="AO14" t="s">
        <v>591</v>
      </c>
      <c r="AP14" t="s">
        <v>592</v>
      </c>
      <c r="AQ14" t="s">
        <v>593</v>
      </c>
      <c r="AR14" t="s">
        <v>594</v>
      </c>
      <c r="AS14" t="s">
        <v>595</v>
      </c>
      <c r="AT14" t="s">
        <v>596</v>
      </c>
      <c r="AU14" t="s">
        <v>479</v>
      </c>
      <c r="AV14" t="s">
        <v>1465</v>
      </c>
      <c r="AW14" t="s">
        <v>1465</v>
      </c>
      <c r="AX14" t="s">
        <v>1465</v>
      </c>
      <c r="AY14" t="s">
        <v>1465</v>
      </c>
      <c r="AZ14" t="s">
        <v>1465</v>
      </c>
      <c r="BA14" t="s">
        <v>580</v>
      </c>
      <c r="BB14" t="s">
        <v>597</v>
      </c>
      <c r="BC14" t="s">
        <v>1465</v>
      </c>
      <c r="BD14" t="s">
        <v>1465</v>
      </c>
      <c r="BE14" t="s">
        <v>1465</v>
      </c>
      <c r="BF14" t="s">
        <v>1465</v>
      </c>
      <c r="BG14" t="s">
        <v>1465</v>
      </c>
      <c r="BH14" t="s">
        <v>1465</v>
      </c>
      <c r="BI14" t="s">
        <v>598</v>
      </c>
      <c r="BJ14" t="s">
        <v>599</v>
      </c>
      <c r="BK14" t="s">
        <v>402</v>
      </c>
      <c r="BL14" t="s">
        <v>1465</v>
      </c>
      <c r="BM14" t="s">
        <v>1465</v>
      </c>
      <c r="BN14" t="s">
        <v>1465</v>
      </c>
      <c r="BO14" t="s">
        <v>1465</v>
      </c>
    </row>
    <row r="15" spans="1:67" x14ac:dyDescent="0.3">
      <c r="A15" t="s">
        <v>600</v>
      </c>
      <c r="B15" t="s">
        <v>165</v>
      </c>
      <c r="C15" t="s">
        <v>1465</v>
      </c>
      <c r="D15" t="s">
        <v>1465</v>
      </c>
      <c r="E15" t="s">
        <v>166</v>
      </c>
      <c r="F15" t="s">
        <v>34</v>
      </c>
      <c r="G15" t="s">
        <v>403</v>
      </c>
      <c r="H15" t="s">
        <v>601</v>
      </c>
      <c r="I15" t="s">
        <v>566</v>
      </c>
      <c r="J15" t="s">
        <v>467</v>
      </c>
      <c r="K15" t="s">
        <v>532</v>
      </c>
      <c r="L15" t="s">
        <v>404</v>
      </c>
      <c r="M15" t="s">
        <v>50</v>
      </c>
      <c r="N15" t="s">
        <v>446</v>
      </c>
      <c r="O15" t="s">
        <v>602</v>
      </c>
      <c r="P15" t="s">
        <v>603</v>
      </c>
      <c r="Q15" t="s">
        <v>603</v>
      </c>
      <c r="R15" t="s">
        <v>1465</v>
      </c>
      <c r="S15" t="s">
        <v>604</v>
      </c>
      <c r="T15" t="s">
        <v>385</v>
      </c>
      <c r="U15" t="s">
        <v>605</v>
      </c>
      <c r="V15" t="s">
        <v>606</v>
      </c>
      <c r="W15" t="s">
        <v>385</v>
      </c>
      <c r="X15" t="s">
        <v>248</v>
      </c>
      <c r="Y15" t="s">
        <v>1465</v>
      </c>
      <c r="Z15" t="s">
        <v>1465</v>
      </c>
      <c r="AA15" t="s">
        <v>607</v>
      </c>
      <c r="AB15" t="s">
        <v>608</v>
      </c>
      <c r="AC15" t="s">
        <v>37</v>
      </c>
      <c r="AD15" t="s">
        <v>1465</v>
      </c>
      <c r="AE15" t="s">
        <v>168</v>
      </c>
      <c r="AF15" t="s">
        <v>168</v>
      </c>
      <c r="AG15" t="s">
        <v>51</v>
      </c>
      <c r="AH15" t="s">
        <v>46</v>
      </c>
      <c r="AI15" t="s">
        <v>1547</v>
      </c>
      <c r="AJ15" t="s">
        <v>390</v>
      </c>
      <c r="AK15" t="s">
        <v>67</v>
      </c>
      <c r="AL15" t="s">
        <v>91</v>
      </c>
      <c r="AM15" t="s">
        <v>1465</v>
      </c>
      <c r="AN15" t="s">
        <v>1465</v>
      </c>
      <c r="AO15" t="s">
        <v>1465</v>
      </c>
      <c r="AP15" t="s">
        <v>609</v>
      </c>
      <c r="AQ15" t="s">
        <v>610</v>
      </c>
      <c r="AR15" t="s">
        <v>611</v>
      </c>
      <c r="AS15" t="s">
        <v>612</v>
      </c>
      <c r="AT15" t="s">
        <v>613</v>
      </c>
      <c r="AU15" t="s">
        <v>578</v>
      </c>
      <c r="AV15" t="s">
        <v>1465</v>
      </c>
      <c r="AW15" t="s">
        <v>1465</v>
      </c>
      <c r="AX15" t="s">
        <v>1465</v>
      </c>
      <c r="AY15" t="s">
        <v>1465</v>
      </c>
      <c r="AZ15" t="s">
        <v>1465</v>
      </c>
      <c r="BA15" t="s">
        <v>580</v>
      </c>
      <c r="BB15" t="s">
        <v>614</v>
      </c>
      <c r="BC15" t="s">
        <v>1465</v>
      </c>
      <c r="BD15" t="s">
        <v>1465</v>
      </c>
      <c r="BE15" t="s">
        <v>1465</v>
      </c>
      <c r="BF15" t="s">
        <v>1465</v>
      </c>
      <c r="BG15" t="s">
        <v>1465</v>
      </c>
      <c r="BH15" t="s">
        <v>1465</v>
      </c>
      <c r="BI15" t="s">
        <v>609</v>
      </c>
      <c r="BJ15" t="s">
        <v>615</v>
      </c>
      <c r="BK15" t="s">
        <v>402</v>
      </c>
      <c r="BL15" t="s">
        <v>1465</v>
      </c>
      <c r="BM15" t="s">
        <v>1467</v>
      </c>
      <c r="BN15" t="s">
        <v>1465</v>
      </c>
      <c r="BO15" t="s">
        <v>1465</v>
      </c>
    </row>
    <row r="16" spans="1:67" x14ac:dyDescent="0.3">
      <c r="A16" t="s">
        <v>616</v>
      </c>
      <c r="B16" t="s">
        <v>113</v>
      </c>
      <c r="C16" t="s">
        <v>248</v>
      </c>
      <c r="D16" t="s">
        <v>248</v>
      </c>
      <c r="E16" t="s">
        <v>114</v>
      </c>
      <c r="F16" t="s">
        <v>34</v>
      </c>
      <c r="G16" t="s">
        <v>36</v>
      </c>
      <c r="H16" t="s">
        <v>1465</v>
      </c>
      <c r="I16" t="s">
        <v>466</v>
      </c>
      <c r="J16" t="s">
        <v>467</v>
      </c>
      <c r="K16" t="s">
        <v>532</v>
      </c>
      <c r="L16" t="s">
        <v>404</v>
      </c>
      <c r="M16" t="s">
        <v>35</v>
      </c>
      <c r="N16" t="s">
        <v>535</v>
      </c>
      <c r="O16" t="s">
        <v>617</v>
      </c>
      <c r="P16" t="s">
        <v>618</v>
      </c>
      <c r="Q16" t="s">
        <v>420</v>
      </c>
      <c r="R16" t="s">
        <v>1465</v>
      </c>
      <c r="S16" t="s">
        <v>248</v>
      </c>
      <c r="T16" t="s">
        <v>248</v>
      </c>
      <c r="U16" t="s">
        <v>248</v>
      </c>
      <c r="V16" t="s">
        <v>619</v>
      </c>
      <c r="W16" t="s">
        <v>385</v>
      </c>
      <c r="X16" t="s">
        <v>248</v>
      </c>
      <c r="Y16" t="s">
        <v>1465</v>
      </c>
      <c r="Z16" t="s">
        <v>1465</v>
      </c>
      <c r="AA16" t="s">
        <v>1465</v>
      </c>
      <c r="AB16" t="s">
        <v>620</v>
      </c>
      <c r="AC16" t="s">
        <v>37</v>
      </c>
      <c r="AD16" t="s">
        <v>76</v>
      </c>
      <c r="AE16" t="s">
        <v>80</v>
      </c>
      <c r="AF16" t="s">
        <v>80</v>
      </c>
      <c r="AG16" t="s">
        <v>80</v>
      </c>
      <c r="AH16" t="s">
        <v>76</v>
      </c>
      <c r="AI16" t="s">
        <v>389</v>
      </c>
      <c r="AJ16" t="s">
        <v>390</v>
      </c>
      <c r="AK16" t="s">
        <v>60</v>
      </c>
      <c r="AL16" t="s">
        <v>60</v>
      </c>
      <c r="AM16" t="s">
        <v>1465</v>
      </c>
      <c r="AN16" t="s">
        <v>621</v>
      </c>
      <c r="AO16" t="s">
        <v>622</v>
      </c>
      <c r="AP16" t="s">
        <v>623</v>
      </c>
      <c r="AQ16" t="s">
        <v>624</v>
      </c>
      <c r="AR16" t="s">
        <v>625</v>
      </c>
      <c r="AS16" t="s">
        <v>626</v>
      </c>
      <c r="AT16" t="s">
        <v>627</v>
      </c>
      <c r="AU16" t="s">
        <v>479</v>
      </c>
      <c r="AV16" t="s">
        <v>1465</v>
      </c>
      <c r="AW16" t="s">
        <v>1465</v>
      </c>
      <c r="AX16" t="s">
        <v>1465</v>
      </c>
      <c r="AY16" t="s">
        <v>1465</v>
      </c>
      <c r="AZ16" t="s">
        <v>1465</v>
      </c>
      <c r="BA16" t="s">
        <v>580</v>
      </c>
      <c r="BB16" t="s">
        <v>628</v>
      </c>
      <c r="BC16" t="s">
        <v>1465</v>
      </c>
      <c r="BD16" t="s">
        <v>1465</v>
      </c>
      <c r="BE16" t="s">
        <v>1465</v>
      </c>
      <c r="BF16" t="s">
        <v>1465</v>
      </c>
      <c r="BG16" t="s">
        <v>1465</v>
      </c>
      <c r="BH16" t="s">
        <v>1465</v>
      </c>
      <c r="BI16" t="s">
        <v>629</v>
      </c>
      <c r="BJ16" t="s">
        <v>630</v>
      </c>
      <c r="BK16" t="s">
        <v>402</v>
      </c>
      <c r="BL16" t="s">
        <v>1465</v>
      </c>
      <c r="BM16" t="s">
        <v>1465</v>
      </c>
      <c r="BN16" t="s">
        <v>1465</v>
      </c>
      <c r="BO16" t="s">
        <v>1465</v>
      </c>
    </row>
    <row r="17" spans="1:67" x14ac:dyDescent="0.3">
      <c r="A17" t="s">
        <v>631</v>
      </c>
      <c r="B17" t="s">
        <v>117</v>
      </c>
      <c r="C17" t="s">
        <v>248</v>
      </c>
      <c r="D17" t="s">
        <v>248</v>
      </c>
      <c r="E17" t="s">
        <v>118</v>
      </c>
      <c r="F17" t="s">
        <v>119</v>
      </c>
      <c r="G17" t="s">
        <v>36</v>
      </c>
      <c r="H17" t="s">
        <v>1465</v>
      </c>
      <c r="I17" t="s">
        <v>632</v>
      </c>
      <c r="J17" t="s">
        <v>633</v>
      </c>
      <c r="K17" t="s">
        <v>634</v>
      </c>
      <c r="L17" t="s">
        <v>404</v>
      </c>
      <c r="M17" t="s">
        <v>35</v>
      </c>
      <c r="N17" t="s">
        <v>469</v>
      </c>
      <c r="O17" t="s">
        <v>635</v>
      </c>
      <c r="P17" t="s">
        <v>535</v>
      </c>
      <c r="Q17" t="s">
        <v>420</v>
      </c>
      <c r="R17" t="s">
        <v>1465</v>
      </c>
      <c r="S17" t="s">
        <v>248</v>
      </c>
      <c r="T17" t="s">
        <v>248</v>
      </c>
      <c r="U17" t="s">
        <v>248</v>
      </c>
      <c r="V17" t="s">
        <v>636</v>
      </c>
      <c r="W17" t="s">
        <v>385</v>
      </c>
      <c r="X17" t="s">
        <v>248</v>
      </c>
      <c r="Y17" t="s">
        <v>1465</v>
      </c>
      <c r="Z17" t="s">
        <v>1465</v>
      </c>
      <c r="AA17" t="s">
        <v>1465</v>
      </c>
      <c r="AB17" t="s">
        <v>637</v>
      </c>
      <c r="AC17" t="s">
        <v>37</v>
      </c>
      <c r="AD17" t="s">
        <v>76</v>
      </c>
      <c r="AE17" t="s">
        <v>54</v>
      </c>
      <c r="AF17" t="s">
        <v>54</v>
      </c>
      <c r="AG17" t="s">
        <v>54</v>
      </c>
      <c r="AH17" t="s">
        <v>76</v>
      </c>
      <c r="AI17" t="s">
        <v>389</v>
      </c>
      <c r="AJ17" t="s">
        <v>390</v>
      </c>
      <c r="AK17" t="s">
        <v>27</v>
      </c>
      <c r="AL17" t="s">
        <v>27</v>
      </c>
      <c r="AM17" t="s">
        <v>1465</v>
      </c>
      <c r="AN17" t="s">
        <v>590</v>
      </c>
      <c r="AO17" t="s">
        <v>638</v>
      </c>
      <c r="AP17" t="s">
        <v>639</v>
      </c>
      <c r="AQ17" t="s">
        <v>640</v>
      </c>
      <c r="AR17" t="s">
        <v>641</v>
      </c>
      <c r="AS17" t="s">
        <v>642</v>
      </c>
      <c r="AT17" t="s">
        <v>643</v>
      </c>
      <c r="AU17" t="s">
        <v>644</v>
      </c>
      <c r="AV17" t="s">
        <v>1465</v>
      </c>
      <c r="AW17" t="s">
        <v>645</v>
      </c>
      <c r="AX17" t="s">
        <v>1465</v>
      </c>
      <c r="AY17" t="s">
        <v>1465</v>
      </c>
      <c r="AZ17" t="s">
        <v>1465</v>
      </c>
      <c r="BA17" t="s">
        <v>646</v>
      </c>
      <c r="BB17" t="s">
        <v>647</v>
      </c>
      <c r="BC17" t="s">
        <v>1465</v>
      </c>
      <c r="BD17" t="s">
        <v>1465</v>
      </c>
      <c r="BE17" t="s">
        <v>1465</v>
      </c>
      <c r="BF17" t="s">
        <v>1465</v>
      </c>
      <c r="BG17" t="s">
        <v>1465</v>
      </c>
      <c r="BH17" t="s">
        <v>1465</v>
      </c>
      <c r="BI17" t="s">
        <v>639</v>
      </c>
      <c r="BJ17" t="s">
        <v>648</v>
      </c>
      <c r="BK17" t="s">
        <v>402</v>
      </c>
      <c r="BL17" t="s">
        <v>1465</v>
      </c>
      <c r="BM17" t="s">
        <v>1465</v>
      </c>
      <c r="BN17" t="s">
        <v>1465</v>
      </c>
      <c r="BO17" t="s">
        <v>1465</v>
      </c>
    </row>
    <row r="18" spans="1:67" x14ac:dyDescent="0.3">
      <c r="A18" t="s">
        <v>649</v>
      </c>
      <c r="B18" t="s">
        <v>120</v>
      </c>
      <c r="C18" t="s">
        <v>248</v>
      </c>
      <c r="D18" t="s">
        <v>248</v>
      </c>
      <c r="E18" t="s">
        <v>121</v>
      </c>
      <c r="F18" t="s">
        <v>119</v>
      </c>
      <c r="G18" t="s">
        <v>36</v>
      </c>
      <c r="H18" t="s">
        <v>1465</v>
      </c>
      <c r="I18" t="s">
        <v>632</v>
      </c>
      <c r="J18" t="s">
        <v>633</v>
      </c>
      <c r="K18" t="s">
        <v>634</v>
      </c>
      <c r="L18" t="s">
        <v>404</v>
      </c>
      <c r="M18" t="s">
        <v>35</v>
      </c>
      <c r="N18" t="s">
        <v>469</v>
      </c>
      <c r="O18" t="s">
        <v>650</v>
      </c>
      <c r="P18" t="s">
        <v>505</v>
      </c>
      <c r="Q18" t="s">
        <v>383</v>
      </c>
      <c r="R18" t="s">
        <v>1465</v>
      </c>
      <c r="S18" t="s">
        <v>248</v>
      </c>
      <c r="T18" t="s">
        <v>248</v>
      </c>
      <c r="U18" t="s">
        <v>248</v>
      </c>
      <c r="V18" t="s">
        <v>651</v>
      </c>
      <c r="W18" t="s">
        <v>385</v>
      </c>
      <c r="X18" t="s">
        <v>248</v>
      </c>
      <c r="Y18" t="s">
        <v>1465</v>
      </c>
      <c r="Z18" t="s">
        <v>1465</v>
      </c>
      <c r="AA18" t="s">
        <v>652</v>
      </c>
      <c r="AB18" t="s">
        <v>653</v>
      </c>
      <c r="AC18" t="s">
        <v>37</v>
      </c>
      <c r="AD18" t="s">
        <v>76</v>
      </c>
      <c r="AE18" t="s">
        <v>107</v>
      </c>
      <c r="AF18" t="s">
        <v>107</v>
      </c>
      <c r="AG18" t="s">
        <v>107</v>
      </c>
      <c r="AH18" t="s">
        <v>76</v>
      </c>
      <c r="AI18" t="s">
        <v>389</v>
      </c>
      <c r="AJ18" t="s">
        <v>390</v>
      </c>
      <c r="AK18" t="s">
        <v>60</v>
      </c>
      <c r="AL18" t="s">
        <v>53</v>
      </c>
      <c r="AM18" t="s">
        <v>1465</v>
      </c>
      <c r="AN18" t="s">
        <v>391</v>
      </c>
      <c r="AO18" t="s">
        <v>654</v>
      </c>
      <c r="AP18" t="s">
        <v>655</v>
      </c>
      <c r="AQ18" t="s">
        <v>656</v>
      </c>
      <c r="AR18" t="s">
        <v>657</v>
      </c>
      <c r="AS18" t="s">
        <v>658</v>
      </c>
      <c r="AT18" t="s">
        <v>659</v>
      </c>
      <c r="AU18" t="s">
        <v>644</v>
      </c>
      <c r="AV18" t="s">
        <v>1465</v>
      </c>
      <c r="AW18" t="s">
        <v>1465</v>
      </c>
      <c r="AX18" t="s">
        <v>1465</v>
      </c>
      <c r="AY18" t="s">
        <v>1465</v>
      </c>
      <c r="AZ18" t="s">
        <v>1465</v>
      </c>
      <c r="BA18" t="s">
        <v>646</v>
      </c>
      <c r="BB18" t="s">
        <v>660</v>
      </c>
      <c r="BC18" t="s">
        <v>1465</v>
      </c>
      <c r="BD18" t="s">
        <v>1465</v>
      </c>
      <c r="BE18" t="s">
        <v>1465</v>
      </c>
      <c r="BF18" t="s">
        <v>1465</v>
      </c>
      <c r="BG18" t="s">
        <v>1465</v>
      </c>
      <c r="BH18" t="s">
        <v>1465</v>
      </c>
      <c r="BI18" t="s">
        <v>661</v>
      </c>
      <c r="BJ18" t="s">
        <v>662</v>
      </c>
      <c r="BK18" t="s">
        <v>402</v>
      </c>
      <c r="BL18" t="s">
        <v>1465</v>
      </c>
      <c r="BM18" t="s">
        <v>1465</v>
      </c>
      <c r="BN18" t="s">
        <v>1465</v>
      </c>
      <c r="BO18" t="s">
        <v>1465</v>
      </c>
    </row>
    <row r="19" spans="1:67" x14ac:dyDescent="0.3">
      <c r="A19" t="s">
        <v>663</v>
      </c>
      <c r="B19" t="s">
        <v>183</v>
      </c>
      <c r="C19" t="s">
        <v>549</v>
      </c>
      <c r="D19" t="s">
        <v>549</v>
      </c>
      <c r="E19" t="s">
        <v>184</v>
      </c>
      <c r="F19" t="s">
        <v>119</v>
      </c>
      <c r="G19" t="s">
        <v>403</v>
      </c>
      <c r="H19" t="s">
        <v>1465</v>
      </c>
      <c r="I19" t="s">
        <v>632</v>
      </c>
      <c r="J19" t="s">
        <v>633</v>
      </c>
      <c r="K19" t="s">
        <v>634</v>
      </c>
      <c r="L19" t="s">
        <v>550</v>
      </c>
      <c r="M19" t="s">
        <v>35</v>
      </c>
      <c r="N19" t="s">
        <v>469</v>
      </c>
      <c r="O19" t="s">
        <v>635</v>
      </c>
      <c r="P19" t="s">
        <v>535</v>
      </c>
      <c r="Q19" t="s">
        <v>420</v>
      </c>
      <c r="R19" t="s">
        <v>1465</v>
      </c>
      <c r="S19" t="s">
        <v>664</v>
      </c>
      <c r="T19" t="s">
        <v>385</v>
      </c>
      <c r="U19" t="s">
        <v>248</v>
      </c>
      <c r="V19" t="s">
        <v>665</v>
      </c>
      <c r="W19" t="s">
        <v>385</v>
      </c>
      <c r="X19" t="s">
        <v>248</v>
      </c>
      <c r="Y19" t="s">
        <v>1465</v>
      </c>
      <c r="Z19" t="s">
        <v>1465</v>
      </c>
      <c r="AA19" t="s">
        <v>666</v>
      </c>
      <c r="AB19" t="s">
        <v>667</v>
      </c>
      <c r="AC19" t="s">
        <v>112</v>
      </c>
      <c r="AD19" t="s">
        <v>37</v>
      </c>
      <c r="AE19" t="s">
        <v>186</v>
      </c>
      <c r="AF19" t="s">
        <v>186</v>
      </c>
      <c r="AG19" t="s">
        <v>186</v>
      </c>
      <c r="AH19" t="s">
        <v>76</v>
      </c>
      <c r="AI19" t="s">
        <v>389</v>
      </c>
      <c r="AJ19" t="s">
        <v>390</v>
      </c>
      <c r="AK19" t="s">
        <v>193</v>
      </c>
      <c r="AL19" t="s">
        <v>91</v>
      </c>
      <c r="AM19" t="s">
        <v>1465</v>
      </c>
      <c r="AN19" t="s">
        <v>1465</v>
      </c>
      <c r="AO19" t="s">
        <v>1465</v>
      </c>
      <c r="AP19" t="s">
        <v>668</v>
      </c>
      <c r="AQ19" t="s">
        <v>669</v>
      </c>
      <c r="AR19" t="s">
        <v>670</v>
      </c>
      <c r="AS19" t="s">
        <v>671</v>
      </c>
      <c r="AT19" t="s">
        <v>672</v>
      </c>
      <c r="AU19" t="s">
        <v>644</v>
      </c>
      <c r="AV19" t="s">
        <v>1465</v>
      </c>
      <c r="AW19" t="s">
        <v>1465</v>
      </c>
      <c r="AX19" t="s">
        <v>1465</v>
      </c>
      <c r="AY19" t="s">
        <v>1465</v>
      </c>
      <c r="AZ19" t="s">
        <v>1465</v>
      </c>
      <c r="BA19" t="s">
        <v>646</v>
      </c>
      <c r="BB19" t="s">
        <v>673</v>
      </c>
      <c r="BC19" t="s">
        <v>1465</v>
      </c>
      <c r="BD19" t="s">
        <v>1465</v>
      </c>
      <c r="BE19" t="s">
        <v>1465</v>
      </c>
      <c r="BF19" t="s">
        <v>1465</v>
      </c>
      <c r="BG19" t="s">
        <v>1465</v>
      </c>
      <c r="BH19" t="s">
        <v>1465</v>
      </c>
      <c r="BI19" t="s">
        <v>668</v>
      </c>
      <c r="BJ19" t="s">
        <v>674</v>
      </c>
      <c r="BK19" t="s">
        <v>402</v>
      </c>
      <c r="BL19" t="s">
        <v>1465</v>
      </c>
      <c r="BM19" t="s">
        <v>1548</v>
      </c>
      <c r="BN19" t="s">
        <v>1465</v>
      </c>
      <c r="BO19" t="s">
        <v>1465</v>
      </c>
    </row>
    <row r="20" spans="1:67" x14ac:dyDescent="0.3">
      <c r="A20" t="s">
        <v>675</v>
      </c>
      <c r="B20" t="s">
        <v>62</v>
      </c>
      <c r="C20" t="s">
        <v>1549</v>
      </c>
      <c r="D20" t="s">
        <v>676</v>
      </c>
      <c r="E20" t="s">
        <v>63</v>
      </c>
      <c r="F20" t="s">
        <v>64</v>
      </c>
      <c r="G20" t="s">
        <v>36</v>
      </c>
      <c r="H20" t="s">
        <v>1465</v>
      </c>
      <c r="I20" t="s">
        <v>677</v>
      </c>
      <c r="J20" t="s">
        <v>467</v>
      </c>
      <c r="K20" t="s">
        <v>1550</v>
      </c>
      <c r="L20" t="s">
        <v>379</v>
      </c>
      <c r="M20" t="s">
        <v>35</v>
      </c>
      <c r="N20" t="s">
        <v>679</v>
      </c>
      <c r="O20" t="s">
        <v>680</v>
      </c>
      <c r="P20" t="s">
        <v>681</v>
      </c>
      <c r="Q20" t="s">
        <v>420</v>
      </c>
      <c r="R20" t="s">
        <v>1465</v>
      </c>
      <c r="S20" t="s">
        <v>682</v>
      </c>
      <c r="T20" t="s">
        <v>385</v>
      </c>
      <c r="U20" t="s">
        <v>248</v>
      </c>
      <c r="V20" t="s">
        <v>683</v>
      </c>
      <c r="W20" t="s">
        <v>385</v>
      </c>
      <c r="X20" t="s">
        <v>684</v>
      </c>
      <c r="Y20" t="s">
        <v>67</v>
      </c>
      <c r="Z20" t="s">
        <v>1515</v>
      </c>
      <c r="AA20" t="s">
        <v>685</v>
      </c>
      <c r="AB20" t="s">
        <v>686</v>
      </c>
      <c r="AC20" t="s">
        <v>37</v>
      </c>
      <c r="AD20" t="s">
        <v>37</v>
      </c>
      <c r="AE20" t="s">
        <v>65</v>
      </c>
      <c r="AF20" t="s">
        <v>65</v>
      </c>
      <c r="AG20" t="s">
        <v>65</v>
      </c>
      <c r="AH20" t="s">
        <v>76</v>
      </c>
      <c r="AI20" t="s">
        <v>389</v>
      </c>
      <c r="AJ20" t="s">
        <v>390</v>
      </c>
      <c r="AK20" t="s">
        <v>27</v>
      </c>
      <c r="AL20" t="s">
        <v>66</v>
      </c>
      <c r="AM20" t="s">
        <v>1465</v>
      </c>
      <c r="AN20" t="s">
        <v>1518</v>
      </c>
      <c r="AO20" t="s">
        <v>1551</v>
      </c>
      <c r="AP20" t="s">
        <v>687</v>
      </c>
      <c r="AQ20" t="s">
        <v>688</v>
      </c>
      <c r="AR20" t="s">
        <v>689</v>
      </c>
      <c r="AS20" t="s">
        <v>690</v>
      </c>
      <c r="AT20" t="s">
        <v>691</v>
      </c>
      <c r="AU20" t="s">
        <v>692</v>
      </c>
      <c r="AV20" t="s">
        <v>1465</v>
      </c>
      <c r="AW20" t="s">
        <v>1465</v>
      </c>
      <c r="AX20" t="s">
        <v>1465</v>
      </c>
      <c r="AY20" t="s">
        <v>1465</v>
      </c>
      <c r="AZ20" t="s">
        <v>1465</v>
      </c>
      <c r="BA20" t="s">
        <v>693</v>
      </c>
      <c r="BB20" t="s">
        <v>694</v>
      </c>
      <c r="BC20" t="s">
        <v>1465</v>
      </c>
      <c r="BD20" t="s">
        <v>1465</v>
      </c>
      <c r="BE20" t="s">
        <v>1465</v>
      </c>
      <c r="BF20" t="s">
        <v>1465</v>
      </c>
      <c r="BG20" t="s">
        <v>1465</v>
      </c>
      <c r="BH20" t="s">
        <v>1465</v>
      </c>
      <c r="BI20" t="s">
        <v>687</v>
      </c>
      <c r="BJ20" t="s">
        <v>695</v>
      </c>
      <c r="BK20" t="s">
        <v>402</v>
      </c>
      <c r="BL20" t="s">
        <v>1465</v>
      </c>
      <c r="BM20" t="s">
        <v>1465</v>
      </c>
      <c r="BN20" t="s">
        <v>1465</v>
      </c>
      <c r="BO20" t="s">
        <v>1465</v>
      </c>
    </row>
    <row r="21" spans="1:67" x14ac:dyDescent="0.3">
      <c r="A21" t="s">
        <v>696</v>
      </c>
      <c r="B21" t="s">
        <v>131</v>
      </c>
      <c r="C21" t="s">
        <v>248</v>
      </c>
      <c r="D21" t="s">
        <v>248</v>
      </c>
      <c r="E21" t="s">
        <v>132</v>
      </c>
      <c r="F21" t="s">
        <v>49</v>
      </c>
      <c r="G21" t="s">
        <v>74</v>
      </c>
      <c r="H21" t="s">
        <v>1465</v>
      </c>
      <c r="I21" t="s">
        <v>677</v>
      </c>
      <c r="J21" t="s">
        <v>467</v>
      </c>
      <c r="K21" t="s">
        <v>445</v>
      </c>
      <c r="L21" t="s">
        <v>404</v>
      </c>
      <c r="M21" t="s">
        <v>35</v>
      </c>
      <c r="N21" t="s">
        <v>697</v>
      </c>
      <c r="O21" t="s">
        <v>680</v>
      </c>
      <c r="P21" t="s">
        <v>698</v>
      </c>
      <c r="Q21" t="s">
        <v>383</v>
      </c>
      <c r="R21" t="s">
        <v>1465</v>
      </c>
      <c r="S21" t="s">
        <v>248</v>
      </c>
      <c r="T21" t="s">
        <v>248</v>
      </c>
      <c r="U21" t="s">
        <v>248</v>
      </c>
      <c r="V21" t="s">
        <v>699</v>
      </c>
      <c r="W21" t="s">
        <v>91</v>
      </c>
      <c r="X21" t="s">
        <v>699</v>
      </c>
      <c r="Y21" t="s">
        <v>91</v>
      </c>
      <c r="Z21" t="s">
        <v>424</v>
      </c>
      <c r="AA21" t="s">
        <v>1465</v>
      </c>
      <c r="AB21" t="s">
        <v>1465</v>
      </c>
      <c r="AC21" t="s">
        <v>76</v>
      </c>
      <c r="AD21" t="s">
        <v>76</v>
      </c>
      <c r="AE21" t="s">
        <v>76</v>
      </c>
      <c r="AF21" t="s">
        <v>1465</v>
      </c>
      <c r="AG21" t="s">
        <v>1465</v>
      </c>
      <c r="AH21" t="s">
        <v>76</v>
      </c>
      <c r="AI21" t="s">
        <v>427</v>
      </c>
      <c r="AJ21" t="s">
        <v>390</v>
      </c>
      <c r="AK21" t="s">
        <v>91</v>
      </c>
      <c r="AL21" t="s">
        <v>91</v>
      </c>
      <c r="AM21" t="s">
        <v>1465</v>
      </c>
      <c r="AN21" t="s">
        <v>1465</v>
      </c>
      <c r="AO21" t="s">
        <v>1465</v>
      </c>
      <c r="AP21" t="s">
        <v>700</v>
      </c>
      <c r="AQ21" t="s">
        <v>701</v>
      </c>
      <c r="AR21" t="s">
        <v>702</v>
      </c>
      <c r="AS21" t="s">
        <v>703</v>
      </c>
      <c r="AT21" t="s">
        <v>704</v>
      </c>
      <c r="AU21" t="s">
        <v>692</v>
      </c>
      <c r="AV21" t="s">
        <v>1465</v>
      </c>
      <c r="AW21" t="s">
        <v>1465</v>
      </c>
      <c r="AX21" t="s">
        <v>1465</v>
      </c>
      <c r="AY21" t="s">
        <v>1465</v>
      </c>
      <c r="AZ21" t="s">
        <v>1465</v>
      </c>
      <c r="BA21" t="s">
        <v>705</v>
      </c>
      <c r="BB21" t="s">
        <v>706</v>
      </c>
      <c r="BC21" t="s">
        <v>1465</v>
      </c>
      <c r="BD21" t="s">
        <v>1465</v>
      </c>
      <c r="BE21" t="s">
        <v>1465</v>
      </c>
      <c r="BF21" t="s">
        <v>1465</v>
      </c>
      <c r="BG21" t="s">
        <v>1465</v>
      </c>
      <c r="BH21" t="s">
        <v>1465</v>
      </c>
      <c r="BI21" t="s">
        <v>700</v>
      </c>
      <c r="BJ21" t="s">
        <v>707</v>
      </c>
      <c r="BK21" t="s">
        <v>402</v>
      </c>
      <c r="BL21" t="s">
        <v>1465</v>
      </c>
      <c r="BM21" t="s">
        <v>1465</v>
      </c>
      <c r="BN21" t="s">
        <v>1465</v>
      </c>
      <c r="BO21" t="s">
        <v>1465</v>
      </c>
    </row>
    <row r="22" spans="1:67" x14ac:dyDescent="0.3">
      <c r="A22" t="s">
        <v>708</v>
      </c>
      <c r="B22" t="s">
        <v>135</v>
      </c>
      <c r="C22" t="s">
        <v>1519</v>
      </c>
      <c r="D22" t="s">
        <v>1520</v>
      </c>
      <c r="E22" t="s">
        <v>136</v>
      </c>
      <c r="F22" t="s">
        <v>137</v>
      </c>
      <c r="G22" t="s">
        <v>36</v>
      </c>
      <c r="H22" t="s">
        <v>1465</v>
      </c>
      <c r="I22" t="s">
        <v>709</v>
      </c>
      <c r="J22" t="s">
        <v>467</v>
      </c>
      <c r="K22" t="s">
        <v>445</v>
      </c>
      <c r="L22" t="s">
        <v>1540</v>
      </c>
      <c r="M22" t="s">
        <v>35</v>
      </c>
      <c r="N22" t="s">
        <v>446</v>
      </c>
      <c r="O22" t="s">
        <v>710</v>
      </c>
      <c r="P22" t="s">
        <v>380</v>
      </c>
      <c r="Q22" t="s">
        <v>383</v>
      </c>
      <c r="R22" t="s">
        <v>1465</v>
      </c>
      <c r="S22" t="s">
        <v>248</v>
      </c>
      <c r="T22" t="s">
        <v>248</v>
      </c>
      <c r="U22" t="s">
        <v>248</v>
      </c>
      <c r="V22" t="s">
        <v>1521</v>
      </c>
      <c r="W22" t="s">
        <v>1522</v>
      </c>
      <c r="X22" t="s">
        <v>248</v>
      </c>
      <c r="Y22" t="s">
        <v>1465</v>
      </c>
      <c r="Z22" t="s">
        <v>1465</v>
      </c>
      <c r="AA22" t="s">
        <v>1465</v>
      </c>
      <c r="AB22" t="s">
        <v>711</v>
      </c>
      <c r="AC22" t="s">
        <v>37</v>
      </c>
      <c r="AD22" t="s">
        <v>37</v>
      </c>
      <c r="AE22" t="s">
        <v>54</v>
      </c>
      <c r="AF22" t="s">
        <v>54</v>
      </c>
      <c r="AG22" t="s">
        <v>54</v>
      </c>
      <c r="AH22" t="s">
        <v>76</v>
      </c>
      <c r="AI22" t="s">
        <v>389</v>
      </c>
      <c r="AJ22" t="s">
        <v>390</v>
      </c>
      <c r="AK22" t="s">
        <v>27</v>
      </c>
      <c r="AL22" t="s">
        <v>27</v>
      </c>
      <c r="AM22" t="s">
        <v>1465</v>
      </c>
      <c r="AN22" t="s">
        <v>590</v>
      </c>
      <c r="AO22" t="s">
        <v>712</v>
      </c>
      <c r="AP22" t="s">
        <v>713</v>
      </c>
      <c r="AQ22" t="s">
        <v>714</v>
      </c>
      <c r="AR22" t="s">
        <v>715</v>
      </c>
      <c r="AS22" t="s">
        <v>716</v>
      </c>
      <c r="AT22" t="s">
        <v>717</v>
      </c>
      <c r="AU22" t="s">
        <v>718</v>
      </c>
      <c r="AV22" t="s">
        <v>1465</v>
      </c>
      <c r="AW22" t="s">
        <v>1465</v>
      </c>
      <c r="AX22" t="s">
        <v>1465</v>
      </c>
      <c r="AY22" t="s">
        <v>1465</v>
      </c>
      <c r="AZ22" t="s">
        <v>1465</v>
      </c>
      <c r="BA22" t="s">
        <v>719</v>
      </c>
      <c r="BB22" t="s">
        <v>720</v>
      </c>
      <c r="BC22" t="s">
        <v>1465</v>
      </c>
      <c r="BD22" t="s">
        <v>1465</v>
      </c>
      <c r="BE22" t="s">
        <v>1465</v>
      </c>
      <c r="BF22" t="s">
        <v>1465</v>
      </c>
      <c r="BG22" t="s">
        <v>1465</v>
      </c>
      <c r="BH22" t="s">
        <v>1465</v>
      </c>
      <c r="BI22" t="s">
        <v>713</v>
      </c>
      <c r="BJ22" t="s">
        <v>721</v>
      </c>
      <c r="BK22" t="s">
        <v>402</v>
      </c>
      <c r="BL22" t="s">
        <v>1465</v>
      </c>
      <c r="BM22" t="s">
        <v>1465</v>
      </c>
      <c r="BN22" t="s">
        <v>1465</v>
      </c>
      <c r="BO22" t="s">
        <v>1465</v>
      </c>
    </row>
    <row r="23" spans="1:67" x14ac:dyDescent="0.3">
      <c r="A23" t="s">
        <v>722</v>
      </c>
      <c r="B23" t="s">
        <v>199</v>
      </c>
      <c r="C23" t="s">
        <v>1465</v>
      </c>
      <c r="D23" t="s">
        <v>1465</v>
      </c>
      <c r="E23" t="s">
        <v>200</v>
      </c>
      <c r="F23" t="s">
        <v>137</v>
      </c>
      <c r="G23" t="s">
        <v>403</v>
      </c>
      <c r="H23" t="s">
        <v>723</v>
      </c>
      <c r="I23" t="s">
        <v>466</v>
      </c>
      <c r="J23" t="s">
        <v>467</v>
      </c>
      <c r="K23" t="s">
        <v>445</v>
      </c>
      <c r="L23" t="s">
        <v>404</v>
      </c>
      <c r="M23" t="s">
        <v>35</v>
      </c>
      <c r="N23" t="s">
        <v>505</v>
      </c>
      <c r="O23" t="s">
        <v>724</v>
      </c>
      <c r="P23" t="s">
        <v>679</v>
      </c>
      <c r="Q23" t="s">
        <v>420</v>
      </c>
      <c r="R23" t="s">
        <v>1465</v>
      </c>
      <c r="S23" t="s">
        <v>725</v>
      </c>
      <c r="T23" t="s">
        <v>385</v>
      </c>
      <c r="U23" t="s">
        <v>248</v>
      </c>
      <c r="V23" t="s">
        <v>726</v>
      </c>
      <c r="W23" t="s">
        <v>385</v>
      </c>
      <c r="X23" t="s">
        <v>727</v>
      </c>
      <c r="Y23" t="s">
        <v>202</v>
      </c>
      <c r="Z23" t="s">
        <v>424</v>
      </c>
      <c r="AA23" t="s">
        <v>728</v>
      </c>
      <c r="AB23" t="s">
        <v>729</v>
      </c>
      <c r="AC23" t="s">
        <v>37</v>
      </c>
      <c r="AD23" t="s">
        <v>1465</v>
      </c>
      <c r="AE23" t="s">
        <v>87</v>
      </c>
      <c r="AF23" t="s">
        <v>46</v>
      </c>
      <c r="AG23" t="s">
        <v>80</v>
      </c>
      <c r="AH23" t="s">
        <v>1499</v>
      </c>
      <c r="AI23" t="s">
        <v>1500</v>
      </c>
      <c r="AJ23" t="s">
        <v>390</v>
      </c>
      <c r="AK23" t="s">
        <v>92</v>
      </c>
      <c r="AL23" t="s">
        <v>202</v>
      </c>
      <c r="AM23" t="s">
        <v>1465</v>
      </c>
      <c r="AN23" t="s">
        <v>1465</v>
      </c>
      <c r="AO23" t="s">
        <v>1465</v>
      </c>
      <c r="AP23" t="s">
        <v>730</v>
      </c>
      <c r="AQ23" t="s">
        <v>731</v>
      </c>
      <c r="AR23" t="s">
        <v>732</v>
      </c>
      <c r="AS23" t="s">
        <v>733</v>
      </c>
      <c r="AT23" t="s">
        <v>734</v>
      </c>
      <c r="AU23" t="s">
        <v>479</v>
      </c>
      <c r="AV23" t="s">
        <v>1465</v>
      </c>
      <c r="AW23" t="s">
        <v>1465</v>
      </c>
      <c r="AX23" t="s">
        <v>1465</v>
      </c>
      <c r="AY23" t="s">
        <v>1465</v>
      </c>
      <c r="AZ23" t="s">
        <v>1465</v>
      </c>
      <c r="BA23" t="s">
        <v>735</v>
      </c>
      <c r="BB23" t="s">
        <v>736</v>
      </c>
      <c r="BC23" t="s">
        <v>1465</v>
      </c>
      <c r="BD23" t="s">
        <v>1465</v>
      </c>
      <c r="BE23" t="s">
        <v>1465</v>
      </c>
      <c r="BF23" t="s">
        <v>1465</v>
      </c>
      <c r="BG23" t="s">
        <v>1465</v>
      </c>
      <c r="BH23" t="s">
        <v>1465</v>
      </c>
      <c r="BI23" t="s">
        <v>730</v>
      </c>
      <c r="BJ23" t="s">
        <v>1465</v>
      </c>
      <c r="BK23" t="s">
        <v>402</v>
      </c>
      <c r="BL23" t="s">
        <v>1465</v>
      </c>
      <c r="BM23" t="s">
        <v>1465</v>
      </c>
      <c r="BN23" t="s">
        <v>1465</v>
      </c>
      <c r="BO23" t="s">
        <v>1465</v>
      </c>
    </row>
    <row r="24" spans="1:67" x14ac:dyDescent="0.3">
      <c r="A24" t="s">
        <v>737</v>
      </c>
      <c r="B24" t="s">
        <v>138</v>
      </c>
      <c r="C24" t="s">
        <v>549</v>
      </c>
      <c r="D24" t="s">
        <v>549</v>
      </c>
      <c r="E24" t="s">
        <v>139</v>
      </c>
      <c r="F24" t="s">
        <v>137</v>
      </c>
      <c r="G24" t="s">
        <v>403</v>
      </c>
      <c r="H24" t="s">
        <v>1465</v>
      </c>
      <c r="I24" t="s">
        <v>709</v>
      </c>
      <c r="J24" t="s">
        <v>467</v>
      </c>
      <c r="K24" t="s">
        <v>445</v>
      </c>
      <c r="L24" t="s">
        <v>404</v>
      </c>
      <c r="M24" t="s">
        <v>35</v>
      </c>
      <c r="N24" t="s">
        <v>618</v>
      </c>
      <c r="O24" t="s">
        <v>680</v>
      </c>
      <c r="P24" t="s">
        <v>679</v>
      </c>
      <c r="Q24" t="s">
        <v>383</v>
      </c>
      <c r="R24" t="s">
        <v>1465</v>
      </c>
      <c r="S24" t="s">
        <v>738</v>
      </c>
      <c r="T24" t="s">
        <v>248</v>
      </c>
      <c r="U24" t="s">
        <v>248</v>
      </c>
      <c r="V24" t="s">
        <v>739</v>
      </c>
      <c r="W24" t="s">
        <v>385</v>
      </c>
      <c r="X24" t="s">
        <v>740</v>
      </c>
      <c r="Y24" t="s">
        <v>91</v>
      </c>
      <c r="Z24" t="s">
        <v>424</v>
      </c>
      <c r="AA24" t="s">
        <v>741</v>
      </c>
      <c r="AB24" t="s">
        <v>742</v>
      </c>
      <c r="AC24" t="s">
        <v>112</v>
      </c>
      <c r="AD24" t="s">
        <v>37</v>
      </c>
      <c r="AE24" t="s">
        <v>141</v>
      </c>
      <c r="AF24" t="s">
        <v>1552</v>
      </c>
      <c r="AG24" t="s">
        <v>240</v>
      </c>
      <c r="AH24" t="s">
        <v>146</v>
      </c>
      <c r="AI24" t="s">
        <v>1553</v>
      </c>
      <c r="AJ24" t="s">
        <v>390</v>
      </c>
      <c r="AK24" t="s">
        <v>60</v>
      </c>
      <c r="AL24" t="s">
        <v>28</v>
      </c>
      <c r="AM24" t="s">
        <v>1465</v>
      </c>
      <c r="AN24" t="s">
        <v>1465</v>
      </c>
      <c r="AO24" t="s">
        <v>1465</v>
      </c>
      <c r="AP24" t="s">
        <v>744</v>
      </c>
      <c r="AQ24" t="s">
        <v>745</v>
      </c>
      <c r="AR24" t="s">
        <v>746</v>
      </c>
      <c r="AS24" t="s">
        <v>1554</v>
      </c>
      <c r="AT24" t="s">
        <v>747</v>
      </c>
      <c r="AU24" t="s">
        <v>718</v>
      </c>
      <c r="AV24" t="s">
        <v>1465</v>
      </c>
      <c r="AW24" t="s">
        <v>1465</v>
      </c>
      <c r="AX24" t="s">
        <v>1465</v>
      </c>
      <c r="AY24" t="s">
        <v>1465</v>
      </c>
      <c r="AZ24" t="s">
        <v>1465</v>
      </c>
      <c r="BA24" t="s">
        <v>719</v>
      </c>
      <c r="BB24" t="s">
        <v>748</v>
      </c>
      <c r="BC24" t="s">
        <v>1465</v>
      </c>
      <c r="BD24" t="s">
        <v>1465</v>
      </c>
      <c r="BE24" t="s">
        <v>1465</v>
      </c>
      <c r="BF24" t="s">
        <v>1465</v>
      </c>
      <c r="BG24" t="s">
        <v>1465</v>
      </c>
      <c r="BH24" t="s">
        <v>1465</v>
      </c>
      <c r="BI24" t="s">
        <v>749</v>
      </c>
      <c r="BJ24" t="s">
        <v>750</v>
      </c>
      <c r="BK24" t="s">
        <v>402</v>
      </c>
      <c r="BL24" t="s">
        <v>1465</v>
      </c>
      <c r="BM24" t="s">
        <v>1469</v>
      </c>
      <c r="BN24" t="s">
        <v>1465</v>
      </c>
      <c r="BO24" t="s">
        <v>1465</v>
      </c>
    </row>
    <row r="25" spans="1:67" x14ac:dyDescent="0.3">
      <c r="A25" t="s">
        <v>751</v>
      </c>
      <c r="B25" t="s">
        <v>752</v>
      </c>
      <c r="C25" t="s">
        <v>248</v>
      </c>
      <c r="D25" t="s">
        <v>248</v>
      </c>
      <c r="E25" t="s">
        <v>753</v>
      </c>
      <c r="F25" t="s">
        <v>754</v>
      </c>
      <c r="G25" t="s">
        <v>755</v>
      </c>
      <c r="H25" t="s">
        <v>756</v>
      </c>
      <c r="I25" t="s">
        <v>816</v>
      </c>
      <c r="J25" t="s">
        <v>377</v>
      </c>
      <c r="K25" t="s">
        <v>1465</v>
      </c>
      <c r="L25" t="s">
        <v>533</v>
      </c>
      <c r="M25" t="s">
        <v>534</v>
      </c>
      <c r="N25" t="s">
        <v>446</v>
      </c>
      <c r="O25" t="s">
        <v>756</v>
      </c>
      <c r="P25" t="s">
        <v>1465</v>
      </c>
      <c r="Q25" t="s">
        <v>1465</v>
      </c>
      <c r="R25" t="s">
        <v>1465</v>
      </c>
      <c r="S25" t="s">
        <v>1465</v>
      </c>
      <c r="T25" t="s">
        <v>1465</v>
      </c>
      <c r="U25" t="s">
        <v>1465</v>
      </c>
      <c r="V25" t="s">
        <v>1465</v>
      </c>
      <c r="W25" t="s">
        <v>1465</v>
      </c>
      <c r="X25" t="s">
        <v>1465</v>
      </c>
      <c r="Y25" t="s">
        <v>1465</v>
      </c>
      <c r="Z25" t="s">
        <v>1465</v>
      </c>
      <c r="AA25" t="s">
        <v>1465</v>
      </c>
      <c r="AB25" t="s">
        <v>1465</v>
      </c>
      <c r="AC25" t="s">
        <v>76</v>
      </c>
      <c r="AD25" t="s">
        <v>76</v>
      </c>
      <c r="AE25" t="s">
        <v>757</v>
      </c>
      <c r="AF25" t="s">
        <v>1465</v>
      </c>
      <c r="AG25" t="s">
        <v>1465</v>
      </c>
      <c r="AH25" t="s">
        <v>76</v>
      </c>
      <c r="AI25" t="s">
        <v>427</v>
      </c>
      <c r="AJ25" t="s">
        <v>1465</v>
      </c>
      <c r="AK25" t="s">
        <v>1465</v>
      </c>
      <c r="AL25" t="s">
        <v>1465</v>
      </c>
      <c r="AM25" t="s">
        <v>1465</v>
      </c>
      <c r="AN25" t="s">
        <v>1465</v>
      </c>
      <c r="AO25" t="s">
        <v>1465</v>
      </c>
      <c r="AP25" t="s">
        <v>758</v>
      </c>
      <c r="AQ25" t="s">
        <v>759</v>
      </c>
      <c r="AR25" t="s">
        <v>760</v>
      </c>
      <c r="AS25" t="s">
        <v>761</v>
      </c>
      <c r="AT25" t="s">
        <v>762</v>
      </c>
      <c r="AU25" t="s">
        <v>829</v>
      </c>
      <c r="AV25" t="s">
        <v>1465</v>
      </c>
      <c r="AW25" t="s">
        <v>1465</v>
      </c>
      <c r="AX25" t="s">
        <v>1465</v>
      </c>
      <c r="AY25" t="s">
        <v>1465</v>
      </c>
      <c r="AZ25" t="s">
        <v>1465</v>
      </c>
      <c r="BA25" t="s">
        <v>1465</v>
      </c>
      <c r="BB25" t="s">
        <v>1465</v>
      </c>
      <c r="BC25" t="s">
        <v>1465</v>
      </c>
      <c r="BD25" t="s">
        <v>1465</v>
      </c>
      <c r="BE25" t="s">
        <v>1465</v>
      </c>
      <c r="BF25" t="s">
        <v>1465</v>
      </c>
      <c r="BG25" t="s">
        <v>1465</v>
      </c>
      <c r="BH25" t="s">
        <v>1465</v>
      </c>
      <c r="BI25" t="s">
        <v>1465</v>
      </c>
      <c r="BJ25" t="s">
        <v>1465</v>
      </c>
      <c r="BK25" t="s">
        <v>462</v>
      </c>
      <c r="BL25" t="s">
        <v>1465</v>
      </c>
      <c r="BM25" t="s">
        <v>1465</v>
      </c>
      <c r="BN25" t="s">
        <v>1465</v>
      </c>
      <c r="BO25" t="s">
        <v>1465</v>
      </c>
    </row>
    <row r="26" spans="1:67" x14ac:dyDescent="0.3">
      <c r="A26" t="s">
        <v>763</v>
      </c>
      <c r="B26" t="s">
        <v>764</v>
      </c>
      <c r="C26" t="s">
        <v>248</v>
      </c>
      <c r="D26" t="s">
        <v>248</v>
      </c>
      <c r="E26" t="s">
        <v>765</v>
      </c>
      <c r="F26" t="s">
        <v>754</v>
      </c>
      <c r="G26" t="s">
        <v>442</v>
      </c>
      <c r="H26" t="s">
        <v>766</v>
      </c>
      <c r="I26" t="s">
        <v>1465</v>
      </c>
      <c r="J26" t="s">
        <v>444</v>
      </c>
      <c r="K26" t="s">
        <v>1465</v>
      </c>
      <c r="L26" t="s">
        <v>533</v>
      </c>
      <c r="M26" t="s">
        <v>181</v>
      </c>
      <c r="N26" t="s">
        <v>446</v>
      </c>
      <c r="O26" t="s">
        <v>767</v>
      </c>
      <c r="P26" t="s">
        <v>1465</v>
      </c>
      <c r="Q26" t="s">
        <v>1465</v>
      </c>
      <c r="R26" t="s">
        <v>1465</v>
      </c>
      <c r="S26" t="s">
        <v>1465</v>
      </c>
      <c r="T26" t="s">
        <v>1465</v>
      </c>
      <c r="U26" t="s">
        <v>248</v>
      </c>
      <c r="V26" t="s">
        <v>1465</v>
      </c>
      <c r="W26" t="s">
        <v>1465</v>
      </c>
      <c r="X26" t="s">
        <v>1465</v>
      </c>
      <c r="Y26" t="s">
        <v>1465</v>
      </c>
      <c r="Z26" t="s">
        <v>1465</v>
      </c>
      <c r="AA26" t="s">
        <v>1465</v>
      </c>
      <c r="AB26" t="s">
        <v>1465</v>
      </c>
      <c r="AC26" t="s">
        <v>76</v>
      </c>
      <c r="AD26" t="s">
        <v>76</v>
      </c>
      <c r="AE26" t="s">
        <v>768</v>
      </c>
      <c r="AF26" t="s">
        <v>1465</v>
      </c>
      <c r="AG26" t="s">
        <v>1465</v>
      </c>
      <c r="AH26" t="s">
        <v>76</v>
      </c>
      <c r="AI26" t="s">
        <v>427</v>
      </c>
      <c r="AJ26" t="s">
        <v>1465</v>
      </c>
      <c r="AK26" t="s">
        <v>1465</v>
      </c>
      <c r="AL26" t="s">
        <v>1465</v>
      </c>
      <c r="AM26" t="s">
        <v>1465</v>
      </c>
      <c r="AN26" t="s">
        <v>1465</v>
      </c>
      <c r="AO26" t="s">
        <v>1465</v>
      </c>
      <c r="AP26" t="s">
        <v>769</v>
      </c>
      <c r="AQ26" t="s">
        <v>770</v>
      </c>
      <c r="AR26" t="s">
        <v>771</v>
      </c>
      <c r="AS26" t="s">
        <v>1465</v>
      </c>
      <c r="AT26" t="s">
        <v>1465</v>
      </c>
      <c r="AU26" t="s">
        <v>444</v>
      </c>
      <c r="AV26" t="s">
        <v>1465</v>
      </c>
      <c r="AW26" t="s">
        <v>1465</v>
      </c>
      <c r="AX26" t="s">
        <v>1465</v>
      </c>
      <c r="AY26" t="s">
        <v>1465</v>
      </c>
      <c r="AZ26" t="s">
        <v>1465</v>
      </c>
      <c r="BA26" t="s">
        <v>772</v>
      </c>
      <c r="BB26" t="s">
        <v>773</v>
      </c>
      <c r="BC26" t="s">
        <v>1465</v>
      </c>
      <c r="BD26" t="s">
        <v>1465</v>
      </c>
      <c r="BE26" t="s">
        <v>1465</v>
      </c>
      <c r="BF26" t="s">
        <v>1465</v>
      </c>
      <c r="BG26" t="s">
        <v>1465</v>
      </c>
      <c r="BH26" t="s">
        <v>1465</v>
      </c>
      <c r="BI26" t="s">
        <v>769</v>
      </c>
      <c r="BJ26" t="s">
        <v>1465</v>
      </c>
      <c r="BK26" t="s">
        <v>462</v>
      </c>
      <c r="BL26" t="s">
        <v>1465</v>
      </c>
      <c r="BM26" t="s">
        <v>1465</v>
      </c>
      <c r="BN26" t="s">
        <v>1465</v>
      </c>
      <c r="BO26" t="s">
        <v>1465</v>
      </c>
    </row>
    <row r="27" spans="1:67" x14ac:dyDescent="0.3">
      <c r="A27" t="s">
        <v>774</v>
      </c>
      <c r="B27" t="s">
        <v>775</v>
      </c>
      <c r="C27" t="s">
        <v>248</v>
      </c>
      <c r="D27" t="s">
        <v>248</v>
      </c>
      <c r="E27" t="s">
        <v>776</v>
      </c>
      <c r="F27" t="s">
        <v>160</v>
      </c>
      <c r="G27" t="s">
        <v>442</v>
      </c>
      <c r="H27" t="s">
        <v>777</v>
      </c>
      <c r="I27" t="s">
        <v>778</v>
      </c>
      <c r="J27" t="s">
        <v>633</v>
      </c>
      <c r="K27" t="s">
        <v>634</v>
      </c>
      <c r="L27" t="s">
        <v>404</v>
      </c>
      <c r="M27" t="s">
        <v>35</v>
      </c>
      <c r="N27" t="s">
        <v>698</v>
      </c>
      <c r="O27" t="s">
        <v>779</v>
      </c>
      <c r="P27" t="s">
        <v>1465</v>
      </c>
      <c r="Q27" t="s">
        <v>1465</v>
      </c>
      <c r="R27" t="s">
        <v>1465</v>
      </c>
      <c r="S27" t="s">
        <v>1465</v>
      </c>
      <c r="T27" t="s">
        <v>1465</v>
      </c>
      <c r="U27" t="s">
        <v>248</v>
      </c>
      <c r="V27" t="s">
        <v>1465</v>
      </c>
      <c r="W27" t="s">
        <v>1465</v>
      </c>
      <c r="X27" t="s">
        <v>1465</v>
      </c>
      <c r="Y27" t="s">
        <v>1465</v>
      </c>
      <c r="Z27" t="s">
        <v>1465</v>
      </c>
      <c r="AA27" t="s">
        <v>780</v>
      </c>
      <c r="AB27" t="s">
        <v>781</v>
      </c>
      <c r="AC27" t="s">
        <v>37</v>
      </c>
      <c r="AD27" t="s">
        <v>76</v>
      </c>
      <c r="AE27" t="s">
        <v>107</v>
      </c>
      <c r="AF27" t="s">
        <v>1465</v>
      </c>
      <c r="AG27" t="s">
        <v>1465</v>
      </c>
      <c r="AH27" t="s">
        <v>76</v>
      </c>
      <c r="AI27" t="s">
        <v>427</v>
      </c>
      <c r="AJ27" t="s">
        <v>782</v>
      </c>
      <c r="AK27" t="s">
        <v>1465</v>
      </c>
      <c r="AL27" t="s">
        <v>1465</v>
      </c>
      <c r="AM27" t="s">
        <v>1465</v>
      </c>
      <c r="AN27" t="s">
        <v>1465</v>
      </c>
      <c r="AO27" t="s">
        <v>1465</v>
      </c>
      <c r="AP27" t="s">
        <v>783</v>
      </c>
      <c r="AQ27" t="s">
        <v>784</v>
      </c>
      <c r="AR27" t="s">
        <v>785</v>
      </c>
      <c r="AS27" t="s">
        <v>786</v>
      </c>
      <c r="AT27" t="s">
        <v>787</v>
      </c>
      <c r="AU27" t="s">
        <v>788</v>
      </c>
      <c r="AV27" t="s">
        <v>1465</v>
      </c>
      <c r="AW27" t="s">
        <v>1465</v>
      </c>
      <c r="AX27" t="s">
        <v>1465</v>
      </c>
      <c r="AY27" t="s">
        <v>1465</v>
      </c>
      <c r="AZ27" t="s">
        <v>1465</v>
      </c>
      <c r="BA27" t="s">
        <v>789</v>
      </c>
      <c r="BB27" t="s">
        <v>790</v>
      </c>
      <c r="BC27" t="s">
        <v>1465</v>
      </c>
      <c r="BD27" t="s">
        <v>1465</v>
      </c>
      <c r="BE27" t="s">
        <v>1465</v>
      </c>
      <c r="BF27" t="s">
        <v>1465</v>
      </c>
      <c r="BG27" t="s">
        <v>1465</v>
      </c>
      <c r="BH27" t="s">
        <v>1465</v>
      </c>
      <c r="BI27" t="s">
        <v>783</v>
      </c>
      <c r="BJ27" t="s">
        <v>791</v>
      </c>
      <c r="BK27" t="s">
        <v>462</v>
      </c>
      <c r="BL27" t="s">
        <v>1465</v>
      </c>
      <c r="BM27" t="s">
        <v>1465</v>
      </c>
      <c r="BN27" t="s">
        <v>1465</v>
      </c>
      <c r="BO27" t="s">
        <v>1465</v>
      </c>
    </row>
    <row r="28" spans="1:67" x14ac:dyDescent="0.3">
      <c r="A28" t="s">
        <v>792</v>
      </c>
      <c r="B28" t="s">
        <v>793</v>
      </c>
      <c r="C28" t="s">
        <v>1465</v>
      </c>
      <c r="D28" t="s">
        <v>1465</v>
      </c>
      <c r="E28" t="s">
        <v>794</v>
      </c>
      <c r="F28" t="s">
        <v>160</v>
      </c>
      <c r="G28" t="s">
        <v>442</v>
      </c>
      <c r="H28" t="s">
        <v>1465</v>
      </c>
      <c r="I28" t="s">
        <v>1465</v>
      </c>
      <c r="J28" t="s">
        <v>444</v>
      </c>
      <c r="K28" t="s">
        <v>634</v>
      </c>
      <c r="L28" t="s">
        <v>404</v>
      </c>
      <c r="M28" t="s">
        <v>35</v>
      </c>
      <c r="N28" t="s">
        <v>1465</v>
      </c>
      <c r="O28" t="s">
        <v>1465</v>
      </c>
      <c r="P28" t="s">
        <v>1465</v>
      </c>
      <c r="Q28" t="s">
        <v>1465</v>
      </c>
      <c r="R28" t="s">
        <v>1465</v>
      </c>
      <c r="S28" t="s">
        <v>1465</v>
      </c>
      <c r="T28" t="s">
        <v>1465</v>
      </c>
      <c r="U28" t="s">
        <v>248</v>
      </c>
      <c r="V28" t="s">
        <v>1465</v>
      </c>
      <c r="W28" t="s">
        <v>1465</v>
      </c>
      <c r="X28" t="s">
        <v>248</v>
      </c>
      <c r="Y28" t="s">
        <v>1465</v>
      </c>
      <c r="Z28" t="s">
        <v>1465</v>
      </c>
      <c r="AA28" t="s">
        <v>795</v>
      </c>
      <c r="AB28" t="s">
        <v>796</v>
      </c>
      <c r="AC28" t="s">
        <v>37</v>
      </c>
      <c r="AD28" t="s">
        <v>1465</v>
      </c>
      <c r="AE28" t="s">
        <v>87</v>
      </c>
      <c r="AF28" t="s">
        <v>1465</v>
      </c>
      <c r="AG28" t="s">
        <v>1465</v>
      </c>
      <c r="AH28" t="s">
        <v>76</v>
      </c>
      <c r="AI28" t="s">
        <v>427</v>
      </c>
      <c r="AJ28" t="s">
        <v>1465</v>
      </c>
      <c r="AK28" t="s">
        <v>1465</v>
      </c>
      <c r="AL28" t="s">
        <v>1465</v>
      </c>
      <c r="AM28" t="s">
        <v>1465</v>
      </c>
      <c r="AN28" t="s">
        <v>1465</v>
      </c>
      <c r="AO28" t="s">
        <v>1465</v>
      </c>
      <c r="AP28" t="s">
        <v>797</v>
      </c>
      <c r="AQ28" t="s">
        <v>798</v>
      </c>
      <c r="AR28" t="s">
        <v>799</v>
      </c>
      <c r="AS28" t="s">
        <v>800</v>
      </c>
      <c r="AT28" t="s">
        <v>801</v>
      </c>
      <c r="AU28" t="s">
        <v>444</v>
      </c>
      <c r="AV28" t="s">
        <v>1465</v>
      </c>
      <c r="AW28" t="s">
        <v>1465</v>
      </c>
      <c r="AX28" t="s">
        <v>1465</v>
      </c>
      <c r="AY28" t="s">
        <v>1465</v>
      </c>
      <c r="AZ28" t="s">
        <v>1465</v>
      </c>
      <c r="BA28" t="s">
        <v>789</v>
      </c>
      <c r="BB28" t="s">
        <v>802</v>
      </c>
      <c r="BC28" t="s">
        <v>1465</v>
      </c>
      <c r="BD28" t="s">
        <v>1465</v>
      </c>
      <c r="BE28" t="s">
        <v>1465</v>
      </c>
      <c r="BF28" t="s">
        <v>1465</v>
      </c>
      <c r="BG28" t="s">
        <v>1465</v>
      </c>
      <c r="BH28" t="s">
        <v>1465</v>
      </c>
      <c r="BI28" t="s">
        <v>797</v>
      </c>
      <c r="BJ28" t="s">
        <v>803</v>
      </c>
      <c r="BK28" t="s">
        <v>462</v>
      </c>
      <c r="BL28" t="s">
        <v>1465</v>
      </c>
      <c r="BM28" t="s">
        <v>1465</v>
      </c>
      <c r="BN28" t="s">
        <v>1465</v>
      </c>
      <c r="BO28" t="s">
        <v>1465</v>
      </c>
    </row>
    <row r="29" spans="1:67" x14ac:dyDescent="0.3">
      <c r="A29" t="s">
        <v>804</v>
      </c>
      <c r="B29" t="s">
        <v>805</v>
      </c>
      <c r="C29" t="s">
        <v>1465</v>
      </c>
      <c r="D29" t="s">
        <v>1465</v>
      </c>
      <c r="E29" t="s">
        <v>806</v>
      </c>
      <c r="F29" t="s">
        <v>160</v>
      </c>
      <c r="G29" t="s">
        <v>442</v>
      </c>
      <c r="H29" t="s">
        <v>1465</v>
      </c>
      <c r="I29" t="s">
        <v>1465</v>
      </c>
      <c r="J29" t="s">
        <v>444</v>
      </c>
      <c r="K29" t="s">
        <v>634</v>
      </c>
      <c r="L29" t="s">
        <v>404</v>
      </c>
      <c r="M29" t="s">
        <v>35</v>
      </c>
      <c r="N29" t="s">
        <v>1465</v>
      </c>
      <c r="O29" t="s">
        <v>1465</v>
      </c>
      <c r="P29" t="s">
        <v>1465</v>
      </c>
      <c r="Q29" t="s">
        <v>1465</v>
      </c>
      <c r="R29" t="s">
        <v>1465</v>
      </c>
      <c r="S29" t="s">
        <v>1465</v>
      </c>
      <c r="T29" t="s">
        <v>1465</v>
      </c>
      <c r="U29" t="s">
        <v>248</v>
      </c>
      <c r="V29" t="s">
        <v>1465</v>
      </c>
      <c r="W29" t="s">
        <v>1465</v>
      </c>
      <c r="X29" t="s">
        <v>248</v>
      </c>
      <c r="Y29" t="s">
        <v>1465</v>
      </c>
      <c r="Z29" t="s">
        <v>1465</v>
      </c>
      <c r="AA29" t="s">
        <v>807</v>
      </c>
      <c r="AB29" t="s">
        <v>808</v>
      </c>
      <c r="AC29" t="s">
        <v>44</v>
      </c>
      <c r="AD29" t="s">
        <v>1465</v>
      </c>
      <c r="AE29" t="s">
        <v>809</v>
      </c>
      <c r="AF29" t="s">
        <v>1465</v>
      </c>
      <c r="AG29" t="s">
        <v>1465</v>
      </c>
      <c r="AH29" t="s">
        <v>76</v>
      </c>
      <c r="AI29" t="s">
        <v>427</v>
      </c>
      <c r="AJ29" t="s">
        <v>1465</v>
      </c>
      <c r="AK29" t="s">
        <v>1465</v>
      </c>
      <c r="AL29" t="s">
        <v>1465</v>
      </c>
      <c r="AM29" t="s">
        <v>1465</v>
      </c>
      <c r="AN29" t="s">
        <v>1465</v>
      </c>
      <c r="AO29" t="s">
        <v>1465</v>
      </c>
      <c r="AP29" t="s">
        <v>810</v>
      </c>
      <c r="AQ29" t="s">
        <v>811</v>
      </c>
      <c r="AR29" t="s">
        <v>812</v>
      </c>
      <c r="AS29" t="s">
        <v>1465</v>
      </c>
      <c r="AT29" t="s">
        <v>1465</v>
      </c>
      <c r="AU29" t="s">
        <v>444</v>
      </c>
      <c r="AV29" t="s">
        <v>1465</v>
      </c>
      <c r="AW29" t="s">
        <v>1465</v>
      </c>
      <c r="AX29" t="s">
        <v>1465</v>
      </c>
      <c r="AY29" t="s">
        <v>1465</v>
      </c>
      <c r="AZ29" t="s">
        <v>1465</v>
      </c>
      <c r="BA29" t="s">
        <v>789</v>
      </c>
      <c r="BB29" t="s">
        <v>813</v>
      </c>
      <c r="BC29" t="s">
        <v>1465</v>
      </c>
      <c r="BD29" t="s">
        <v>1465</v>
      </c>
      <c r="BE29" t="s">
        <v>1465</v>
      </c>
      <c r="BF29" t="s">
        <v>1465</v>
      </c>
      <c r="BG29" t="s">
        <v>1465</v>
      </c>
      <c r="BH29" t="s">
        <v>1465</v>
      </c>
      <c r="BI29" t="s">
        <v>810</v>
      </c>
      <c r="BJ29" t="s">
        <v>814</v>
      </c>
      <c r="BK29" t="s">
        <v>462</v>
      </c>
      <c r="BL29" t="s">
        <v>1465</v>
      </c>
      <c r="BM29" t="s">
        <v>1465</v>
      </c>
      <c r="BN29" t="s">
        <v>1465</v>
      </c>
      <c r="BO29" t="s">
        <v>1465</v>
      </c>
    </row>
    <row r="30" spans="1:67" x14ac:dyDescent="0.3">
      <c r="A30" t="s">
        <v>815</v>
      </c>
      <c r="B30" t="s">
        <v>83</v>
      </c>
      <c r="C30" t="s">
        <v>1465</v>
      </c>
      <c r="D30" t="s">
        <v>1465</v>
      </c>
      <c r="E30" t="s">
        <v>84</v>
      </c>
      <c r="F30" t="s">
        <v>85</v>
      </c>
      <c r="G30" t="s">
        <v>403</v>
      </c>
      <c r="H30" t="s">
        <v>1465</v>
      </c>
      <c r="I30" t="s">
        <v>816</v>
      </c>
      <c r="J30" t="s">
        <v>377</v>
      </c>
      <c r="K30" t="s">
        <v>817</v>
      </c>
      <c r="L30" t="s">
        <v>404</v>
      </c>
      <c r="M30" t="s">
        <v>35</v>
      </c>
      <c r="N30" t="s">
        <v>818</v>
      </c>
      <c r="O30" t="s">
        <v>819</v>
      </c>
      <c r="P30" t="s">
        <v>697</v>
      </c>
      <c r="Q30" t="s">
        <v>383</v>
      </c>
      <c r="R30" t="s">
        <v>1465</v>
      </c>
      <c r="S30" t="s">
        <v>820</v>
      </c>
      <c r="T30" t="s">
        <v>385</v>
      </c>
      <c r="U30" t="s">
        <v>248</v>
      </c>
      <c r="V30" t="s">
        <v>821</v>
      </c>
      <c r="W30" t="s">
        <v>385</v>
      </c>
      <c r="X30" t="s">
        <v>248</v>
      </c>
      <c r="Y30" t="s">
        <v>1465</v>
      </c>
      <c r="Z30" t="s">
        <v>1465</v>
      </c>
      <c r="AA30" t="s">
        <v>822</v>
      </c>
      <c r="AB30" t="s">
        <v>823</v>
      </c>
      <c r="AC30" t="s">
        <v>112</v>
      </c>
      <c r="AD30" t="s">
        <v>1465</v>
      </c>
      <c r="AE30" t="s">
        <v>87</v>
      </c>
      <c r="AF30" t="s">
        <v>87</v>
      </c>
      <c r="AG30" t="s">
        <v>87</v>
      </c>
      <c r="AH30" t="s">
        <v>76</v>
      </c>
      <c r="AI30" t="s">
        <v>389</v>
      </c>
      <c r="AJ30" t="s">
        <v>390</v>
      </c>
      <c r="AK30" t="s">
        <v>45</v>
      </c>
      <c r="AL30" t="s">
        <v>73</v>
      </c>
      <c r="AM30" t="s">
        <v>1465</v>
      </c>
      <c r="AN30" t="s">
        <v>1465</v>
      </c>
      <c r="AO30" t="s">
        <v>1465</v>
      </c>
      <c r="AP30" t="s">
        <v>824</v>
      </c>
      <c r="AQ30" t="s">
        <v>825</v>
      </c>
      <c r="AR30" t="s">
        <v>826</v>
      </c>
      <c r="AS30" t="s">
        <v>827</v>
      </c>
      <c r="AT30" t="s">
        <v>828</v>
      </c>
      <c r="AU30" t="s">
        <v>829</v>
      </c>
      <c r="AV30" t="s">
        <v>1465</v>
      </c>
      <c r="AW30" t="s">
        <v>1465</v>
      </c>
      <c r="AX30" t="s">
        <v>1465</v>
      </c>
      <c r="AY30" t="s">
        <v>1465</v>
      </c>
      <c r="AZ30" t="s">
        <v>1465</v>
      </c>
      <c r="BA30" t="s">
        <v>435</v>
      </c>
      <c r="BB30" t="s">
        <v>830</v>
      </c>
      <c r="BC30" t="s">
        <v>1465</v>
      </c>
      <c r="BD30" t="s">
        <v>1465</v>
      </c>
      <c r="BE30" t="s">
        <v>1465</v>
      </c>
      <c r="BF30" t="s">
        <v>1465</v>
      </c>
      <c r="BG30" t="s">
        <v>1465</v>
      </c>
      <c r="BH30" t="s">
        <v>1465</v>
      </c>
      <c r="BI30" t="s">
        <v>831</v>
      </c>
      <c r="BJ30" t="s">
        <v>832</v>
      </c>
      <c r="BK30" t="s">
        <v>402</v>
      </c>
      <c r="BL30" t="s">
        <v>1465</v>
      </c>
      <c r="BM30" t="s">
        <v>1465</v>
      </c>
      <c r="BN30" t="s">
        <v>1465</v>
      </c>
      <c r="BO30" t="s">
        <v>1465</v>
      </c>
    </row>
    <row r="31" spans="1:67" x14ac:dyDescent="0.3">
      <c r="A31" t="s">
        <v>833</v>
      </c>
      <c r="B31" t="s">
        <v>147</v>
      </c>
      <c r="C31" t="s">
        <v>1465</v>
      </c>
      <c r="D31" t="s">
        <v>1465</v>
      </c>
      <c r="E31" t="s">
        <v>148</v>
      </c>
      <c r="F31" t="s">
        <v>85</v>
      </c>
      <c r="G31" t="s">
        <v>403</v>
      </c>
      <c r="H31" t="s">
        <v>1465</v>
      </c>
      <c r="I31" t="s">
        <v>834</v>
      </c>
      <c r="J31" t="s">
        <v>377</v>
      </c>
      <c r="K31" t="s">
        <v>817</v>
      </c>
      <c r="L31" t="s">
        <v>404</v>
      </c>
      <c r="M31" t="s">
        <v>35</v>
      </c>
      <c r="N31" t="s">
        <v>380</v>
      </c>
      <c r="O31" t="s">
        <v>835</v>
      </c>
      <c r="P31" t="s">
        <v>382</v>
      </c>
      <c r="Q31" t="s">
        <v>420</v>
      </c>
      <c r="R31" t="s">
        <v>1465</v>
      </c>
      <c r="S31" t="s">
        <v>836</v>
      </c>
      <c r="T31" t="s">
        <v>385</v>
      </c>
      <c r="U31" t="s">
        <v>248</v>
      </c>
      <c r="V31" t="s">
        <v>837</v>
      </c>
      <c r="W31" t="s">
        <v>385</v>
      </c>
      <c r="X31" t="s">
        <v>248</v>
      </c>
      <c r="Y31" t="s">
        <v>1465</v>
      </c>
      <c r="Z31" t="s">
        <v>1465</v>
      </c>
      <c r="AA31" t="s">
        <v>838</v>
      </c>
      <c r="AB31" t="s">
        <v>839</v>
      </c>
      <c r="AC31" t="s">
        <v>80</v>
      </c>
      <c r="AD31" t="s">
        <v>1465</v>
      </c>
      <c r="AE31" t="s">
        <v>149</v>
      </c>
      <c r="AF31" t="s">
        <v>44</v>
      </c>
      <c r="AG31" t="s">
        <v>112</v>
      </c>
      <c r="AH31" t="s">
        <v>87</v>
      </c>
      <c r="AI31" t="s">
        <v>840</v>
      </c>
      <c r="AJ31" t="s">
        <v>390</v>
      </c>
      <c r="AK31" t="s">
        <v>27</v>
      </c>
      <c r="AL31" t="s">
        <v>91</v>
      </c>
      <c r="AM31" t="s">
        <v>1465</v>
      </c>
      <c r="AN31" t="s">
        <v>1465</v>
      </c>
      <c r="AO31" t="s">
        <v>1465</v>
      </c>
      <c r="AP31" t="s">
        <v>841</v>
      </c>
      <c r="AQ31" t="s">
        <v>842</v>
      </c>
      <c r="AR31" t="s">
        <v>843</v>
      </c>
      <c r="AS31" t="s">
        <v>844</v>
      </c>
      <c r="AT31" t="s">
        <v>845</v>
      </c>
      <c r="AU31" t="s">
        <v>846</v>
      </c>
      <c r="AV31" t="s">
        <v>1465</v>
      </c>
      <c r="AW31" t="s">
        <v>1465</v>
      </c>
      <c r="AX31" t="s">
        <v>434</v>
      </c>
      <c r="AY31" t="s">
        <v>1465</v>
      </c>
      <c r="AZ31" t="s">
        <v>1465</v>
      </c>
      <c r="BA31" t="s">
        <v>847</v>
      </c>
      <c r="BB31" t="s">
        <v>848</v>
      </c>
      <c r="BC31" t="s">
        <v>1465</v>
      </c>
      <c r="BD31" t="s">
        <v>1465</v>
      </c>
      <c r="BE31" t="s">
        <v>1465</v>
      </c>
      <c r="BF31" t="s">
        <v>1465</v>
      </c>
      <c r="BG31" t="s">
        <v>1465</v>
      </c>
      <c r="BH31" t="s">
        <v>1465</v>
      </c>
      <c r="BI31" t="s">
        <v>841</v>
      </c>
      <c r="BJ31" t="s">
        <v>849</v>
      </c>
      <c r="BK31" t="s">
        <v>402</v>
      </c>
      <c r="BL31" t="s">
        <v>1465</v>
      </c>
      <c r="BM31" t="s">
        <v>1465</v>
      </c>
      <c r="BN31" t="s">
        <v>1465</v>
      </c>
      <c r="BO31" t="s">
        <v>1465</v>
      </c>
    </row>
    <row r="32" spans="1:67" x14ac:dyDescent="0.3">
      <c r="A32" t="s">
        <v>850</v>
      </c>
      <c r="B32" t="s">
        <v>109</v>
      </c>
      <c r="C32" t="s">
        <v>1465</v>
      </c>
      <c r="D32" t="s">
        <v>1465</v>
      </c>
      <c r="E32" t="s">
        <v>110</v>
      </c>
      <c r="F32" t="s">
        <v>85</v>
      </c>
      <c r="G32" t="s">
        <v>403</v>
      </c>
      <c r="H32" t="s">
        <v>1465</v>
      </c>
      <c r="I32" t="s">
        <v>834</v>
      </c>
      <c r="J32" t="s">
        <v>377</v>
      </c>
      <c r="K32" t="s">
        <v>817</v>
      </c>
      <c r="L32" t="s">
        <v>404</v>
      </c>
      <c r="M32" t="s">
        <v>35</v>
      </c>
      <c r="N32" t="s">
        <v>380</v>
      </c>
      <c r="O32" t="s">
        <v>851</v>
      </c>
      <c r="P32" t="s">
        <v>681</v>
      </c>
      <c r="Q32" t="s">
        <v>383</v>
      </c>
      <c r="R32" t="s">
        <v>1465</v>
      </c>
      <c r="S32" t="s">
        <v>852</v>
      </c>
      <c r="T32" t="s">
        <v>385</v>
      </c>
      <c r="U32" t="s">
        <v>248</v>
      </c>
      <c r="V32" t="s">
        <v>853</v>
      </c>
      <c r="W32" t="s">
        <v>385</v>
      </c>
      <c r="X32" t="s">
        <v>248</v>
      </c>
      <c r="Y32" t="s">
        <v>1465</v>
      </c>
      <c r="Z32" t="s">
        <v>1465</v>
      </c>
      <c r="AA32" t="s">
        <v>854</v>
      </c>
      <c r="AB32" t="s">
        <v>855</v>
      </c>
      <c r="AC32" t="s">
        <v>37</v>
      </c>
      <c r="AD32" t="s">
        <v>1465</v>
      </c>
      <c r="AE32" t="s">
        <v>111</v>
      </c>
      <c r="AF32" t="s">
        <v>1501</v>
      </c>
      <c r="AG32" t="s">
        <v>80</v>
      </c>
      <c r="AH32" t="s">
        <v>856</v>
      </c>
      <c r="AI32" t="s">
        <v>840</v>
      </c>
      <c r="AJ32" t="s">
        <v>390</v>
      </c>
      <c r="AK32" t="s">
        <v>150</v>
      </c>
      <c r="AL32" t="s">
        <v>28</v>
      </c>
      <c r="AM32" t="s">
        <v>1465</v>
      </c>
      <c r="AN32" t="s">
        <v>1465</v>
      </c>
      <c r="AO32" t="s">
        <v>1465</v>
      </c>
      <c r="AP32" t="s">
        <v>857</v>
      </c>
      <c r="AQ32" t="s">
        <v>858</v>
      </c>
      <c r="AR32" t="s">
        <v>859</v>
      </c>
      <c r="AS32" t="s">
        <v>860</v>
      </c>
      <c r="AT32" t="s">
        <v>861</v>
      </c>
      <c r="AU32" t="s">
        <v>846</v>
      </c>
      <c r="AV32" t="s">
        <v>1465</v>
      </c>
      <c r="AW32" t="s">
        <v>1465</v>
      </c>
      <c r="AX32" t="s">
        <v>1465</v>
      </c>
      <c r="AY32" t="s">
        <v>1465</v>
      </c>
      <c r="AZ32" t="s">
        <v>1465</v>
      </c>
      <c r="BA32" t="s">
        <v>847</v>
      </c>
      <c r="BB32" t="s">
        <v>862</v>
      </c>
      <c r="BC32" t="s">
        <v>1465</v>
      </c>
      <c r="BD32" t="s">
        <v>1465</v>
      </c>
      <c r="BE32" t="s">
        <v>1465</v>
      </c>
      <c r="BF32" t="s">
        <v>1465</v>
      </c>
      <c r="BG32" t="s">
        <v>1465</v>
      </c>
      <c r="BH32" t="s">
        <v>1465</v>
      </c>
      <c r="BI32" t="s">
        <v>857</v>
      </c>
      <c r="BJ32" t="s">
        <v>863</v>
      </c>
      <c r="BK32" t="s">
        <v>402</v>
      </c>
      <c r="BL32" t="s">
        <v>1465</v>
      </c>
      <c r="BM32" t="s">
        <v>1465</v>
      </c>
      <c r="BN32" t="s">
        <v>1465</v>
      </c>
      <c r="BO32" t="s">
        <v>1465</v>
      </c>
    </row>
    <row r="33" spans="1:67" x14ac:dyDescent="0.3">
      <c r="A33" t="s">
        <v>864</v>
      </c>
      <c r="B33" t="s">
        <v>151</v>
      </c>
      <c r="C33" t="s">
        <v>1465</v>
      </c>
      <c r="D33" t="s">
        <v>1465</v>
      </c>
      <c r="E33" t="s">
        <v>152</v>
      </c>
      <c r="F33" t="s">
        <v>85</v>
      </c>
      <c r="G33" t="s">
        <v>403</v>
      </c>
      <c r="H33" t="s">
        <v>1465</v>
      </c>
      <c r="I33" t="s">
        <v>816</v>
      </c>
      <c r="J33" t="s">
        <v>377</v>
      </c>
      <c r="K33" t="s">
        <v>817</v>
      </c>
      <c r="L33" t="s">
        <v>404</v>
      </c>
      <c r="M33" t="s">
        <v>35</v>
      </c>
      <c r="N33" t="s">
        <v>380</v>
      </c>
      <c r="O33" t="s">
        <v>865</v>
      </c>
      <c r="P33" t="s">
        <v>382</v>
      </c>
      <c r="Q33" t="s">
        <v>420</v>
      </c>
      <c r="R33" t="s">
        <v>1465</v>
      </c>
      <c r="S33" t="s">
        <v>866</v>
      </c>
      <c r="T33" t="s">
        <v>385</v>
      </c>
      <c r="U33" t="s">
        <v>248</v>
      </c>
      <c r="V33" t="s">
        <v>867</v>
      </c>
      <c r="W33" t="s">
        <v>385</v>
      </c>
      <c r="X33" t="s">
        <v>248</v>
      </c>
      <c r="Y33" t="s">
        <v>1465</v>
      </c>
      <c r="Z33" t="s">
        <v>1465</v>
      </c>
      <c r="AA33" t="s">
        <v>868</v>
      </c>
      <c r="AB33" t="s">
        <v>869</v>
      </c>
      <c r="AC33" t="s">
        <v>37</v>
      </c>
      <c r="AD33" t="s">
        <v>1465</v>
      </c>
      <c r="AE33" t="s">
        <v>153</v>
      </c>
      <c r="AF33" t="s">
        <v>76</v>
      </c>
      <c r="AG33" t="s">
        <v>1465</v>
      </c>
      <c r="AH33" t="s">
        <v>153</v>
      </c>
      <c r="AI33" t="s">
        <v>427</v>
      </c>
      <c r="AJ33" t="s">
        <v>390</v>
      </c>
      <c r="AK33" t="s">
        <v>27</v>
      </c>
      <c r="AL33" t="s">
        <v>66</v>
      </c>
      <c r="AM33" t="s">
        <v>1465</v>
      </c>
      <c r="AN33" t="s">
        <v>1465</v>
      </c>
      <c r="AO33" t="s">
        <v>1465</v>
      </c>
      <c r="AP33" t="s">
        <v>870</v>
      </c>
      <c r="AQ33" t="s">
        <v>871</v>
      </c>
      <c r="AR33" t="s">
        <v>872</v>
      </c>
      <c r="AS33" t="s">
        <v>873</v>
      </c>
      <c r="AT33" t="s">
        <v>874</v>
      </c>
      <c r="AU33" t="s">
        <v>829</v>
      </c>
      <c r="AV33" t="s">
        <v>1465</v>
      </c>
      <c r="AW33" t="s">
        <v>1465</v>
      </c>
      <c r="AX33" t="s">
        <v>875</v>
      </c>
      <c r="AY33" t="s">
        <v>1465</v>
      </c>
      <c r="AZ33" t="s">
        <v>1465</v>
      </c>
      <c r="BA33" t="s">
        <v>847</v>
      </c>
      <c r="BB33" t="s">
        <v>876</v>
      </c>
      <c r="BC33" t="s">
        <v>1465</v>
      </c>
      <c r="BD33" t="s">
        <v>1465</v>
      </c>
      <c r="BE33" t="s">
        <v>1465</v>
      </c>
      <c r="BF33" t="s">
        <v>1465</v>
      </c>
      <c r="BG33" t="s">
        <v>1465</v>
      </c>
      <c r="BH33" t="s">
        <v>1465</v>
      </c>
      <c r="BI33" t="s">
        <v>870</v>
      </c>
      <c r="BJ33" t="s">
        <v>877</v>
      </c>
      <c r="BK33" t="s">
        <v>402</v>
      </c>
      <c r="BL33" t="s">
        <v>1465</v>
      </c>
      <c r="BM33" t="s">
        <v>1465</v>
      </c>
      <c r="BN33" t="s">
        <v>1465</v>
      </c>
      <c r="BO33" t="s">
        <v>1465</v>
      </c>
    </row>
    <row r="34" spans="1:67" x14ac:dyDescent="0.3">
      <c r="A34" t="s">
        <v>878</v>
      </c>
      <c r="B34" t="s">
        <v>879</v>
      </c>
      <c r="C34" t="s">
        <v>248</v>
      </c>
      <c r="D34" t="s">
        <v>248</v>
      </c>
      <c r="E34" t="s">
        <v>880</v>
      </c>
      <c r="F34" t="s">
        <v>214</v>
      </c>
      <c r="G34" t="s">
        <v>755</v>
      </c>
      <c r="H34" t="s">
        <v>881</v>
      </c>
      <c r="I34" t="s">
        <v>632</v>
      </c>
      <c r="J34" t="s">
        <v>633</v>
      </c>
      <c r="K34" t="s">
        <v>882</v>
      </c>
      <c r="L34" t="s">
        <v>533</v>
      </c>
      <c r="M34" t="s">
        <v>534</v>
      </c>
      <c r="N34" t="s">
        <v>698</v>
      </c>
      <c r="O34" t="s">
        <v>883</v>
      </c>
      <c r="P34" t="s">
        <v>1465</v>
      </c>
      <c r="Q34" t="s">
        <v>1465</v>
      </c>
      <c r="R34" t="s">
        <v>1465</v>
      </c>
      <c r="S34" t="s">
        <v>1465</v>
      </c>
      <c r="T34" t="s">
        <v>1465</v>
      </c>
      <c r="U34" t="s">
        <v>1465</v>
      </c>
      <c r="V34" t="s">
        <v>1465</v>
      </c>
      <c r="W34" t="s">
        <v>1465</v>
      </c>
      <c r="X34" t="s">
        <v>1465</v>
      </c>
      <c r="Y34" t="s">
        <v>1465</v>
      </c>
      <c r="Z34" t="s">
        <v>1465</v>
      </c>
      <c r="AA34" t="s">
        <v>1465</v>
      </c>
      <c r="AB34" t="s">
        <v>1465</v>
      </c>
      <c r="AC34" t="s">
        <v>76</v>
      </c>
      <c r="AD34" t="s">
        <v>76</v>
      </c>
      <c r="AE34" t="s">
        <v>884</v>
      </c>
      <c r="AF34" t="s">
        <v>1465</v>
      </c>
      <c r="AG34" t="s">
        <v>1465</v>
      </c>
      <c r="AH34" t="s">
        <v>76</v>
      </c>
      <c r="AI34" t="s">
        <v>427</v>
      </c>
      <c r="AJ34" t="s">
        <v>1465</v>
      </c>
      <c r="AK34" t="s">
        <v>1465</v>
      </c>
      <c r="AL34" t="s">
        <v>1465</v>
      </c>
      <c r="AM34" t="s">
        <v>1465</v>
      </c>
      <c r="AN34" t="s">
        <v>1465</v>
      </c>
      <c r="AO34" t="s">
        <v>1465</v>
      </c>
      <c r="AP34" t="s">
        <v>885</v>
      </c>
      <c r="AQ34" t="s">
        <v>886</v>
      </c>
      <c r="AR34" t="s">
        <v>887</v>
      </c>
      <c r="AS34" t="s">
        <v>888</v>
      </c>
      <c r="AT34" t="s">
        <v>889</v>
      </c>
      <c r="AU34" t="s">
        <v>644</v>
      </c>
      <c r="AV34" t="s">
        <v>1465</v>
      </c>
      <c r="AW34" t="s">
        <v>1465</v>
      </c>
      <c r="AX34" t="s">
        <v>1465</v>
      </c>
      <c r="AY34" t="s">
        <v>1465</v>
      </c>
      <c r="AZ34" t="s">
        <v>1465</v>
      </c>
      <c r="BA34" t="s">
        <v>1465</v>
      </c>
      <c r="BB34" t="s">
        <v>1465</v>
      </c>
      <c r="BC34" t="s">
        <v>1465</v>
      </c>
      <c r="BD34" t="s">
        <v>1465</v>
      </c>
      <c r="BE34" t="s">
        <v>1465</v>
      </c>
      <c r="BF34" t="s">
        <v>1465</v>
      </c>
      <c r="BG34" t="s">
        <v>1465</v>
      </c>
      <c r="BH34" t="s">
        <v>1465</v>
      </c>
      <c r="BI34" t="s">
        <v>1465</v>
      </c>
      <c r="BJ34" t="s">
        <v>1465</v>
      </c>
      <c r="BK34" t="s">
        <v>462</v>
      </c>
      <c r="BL34" t="s">
        <v>1465</v>
      </c>
      <c r="BM34" t="s">
        <v>1465</v>
      </c>
      <c r="BN34" t="s">
        <v>1465</v>
      </c>
      <c r="BO34" t="s">
        <v>1465</v>
      </c>
    </row>
    <row r="35" spans="1:67" x14ac:dyDescent="0.3">
      <c r="A35" t="s">
        <v>890</v>
      </c>
      <c r="B35" t="s">
        <v>891</v>
      </c>
      <c r="C35" t="s">
        <v>248</v>
      </c>
      <c r="D35" t="s">
        <v>248</v>
      </c>
      <c r="E35" t="s">
        <v>892</v>
      </c>
      <c r="F35" t="s">
        <v>214</v>
      </c>
      <c r="G35" t="s">
        <v>755</v>
      </c>
      <c r="H35" t="s">
        <v>893</v>
      </c>
      <c r="I35" t="s">
        <v>1268</v>
      </c>
      <c r="J35" t="s">
        <v>633</v>
      </c>
      <c r="K35" t="s">
        <v>882</v>
      </c>
      <c r="L35" t="s">
        <v>404</v>
      </c>
      <c r="M35" t="s">
        <v>25</v>
      </c>
      <c r="N35" t="s">
        <v>698</v>
      </c>
      <c r="O35" t="s">
        <v>883</v>
      </c>
      <c r="P35" t="s">
        <v>1465</v>
      </c>
      <c r="Q35" t="s">
        <v>1465</v>
      </c>
      <c r="R35" t="s">
        <v>1465</v>
      </c>
      <c r="S35" t="s">
        <v>1465</v>
      </c>
      <c r="T35" t="s">
        <v>1465</v>
      </c>
      <c r="U35" t="s">
        <v>1465</v>
      </c>
      <c r="V35" t="s">
        <v>1465</v>
      </c>
      <c r="W35" t="s">
        <v>1465</v>
      </c>
      <c r="X35" t="s">
        <v>1465</v>
      </c>
      <c r="Y35" t="s">
        <v>1465</v>
      </c>
      <c r="Z35" t="s">
        <v>1465</v>
      </c>
      <c r="AA35" t="s">
        <v>1465</v>
      </c>
      <c r="AB35" t="s">
        <v>1465</v>
      </c>
      <c r="AC35" t="s">
        <v>76</v>
      </c>
      <c r="AD35" t="s">
        <v>76</v>
      </c>
      <c r="AE35" t="s">
        <v>112</v>
      </c>
      <c r="AF35" t="s">
        <v>1465</v>
      </c>
      <c r="AG35" t="s">
        <v>1465</v>
      </c>
      <c r="AH35" t="s">
        <v>76</v>
      </c>
      <c r="AI35" t="s">
        <v>427</v>
      </c>
      <c r="AJ35" t="s">
        <v>1465</v>
      </c>
      <c r="AK35" t="s">
        <v>1465</v>
      </c>
      <c r="AL35" t="s">
        <v>1465</v>
      </c>
      <c r="AM35" t="s">
        <v>1465</v>
      </c>
      <c r="AN35" t="s">
        <v>1465</v>
      </c>
      <c r="AO35" t="s">
        <v>1465</v>
      </c>
      <c r="AP35" t="s">
        <v>894</v>
      </c>
      <c r="AQ35" t="s">
        <v>895</v>
      </c>
      <c r="AR35" t="s">
        <v>896</v>
      </c>
      <c r="AS35" t="s">
        <v>897</v>
      </c>
      <c r="AT35" t="s">
        <v>898</v>
      </c>
      <c r="AU35" t="s">
        <v>1487</v>
      </c>
      <c r="AV35" t="s">
        <v>1465</v>
      </c>
      <c r="AW35" t="s">
        <v>1465</v>
      </c>
      <c r="AX35" t="s">
        <v>1465</v>
      </c>
      <c r="AY35" t="s">
        <v>1465</v>
      </c>
      <c r="AZ35" t="s">
        <v>1465</v>
      </c>
      <c r="BA35" t="s">
        <v>1465</v>
      </c>
      <c r="BB35" t="s">
        <v>1465</v>
      </c>
      <c r="BC35" t="s">
        <v>1465</v>
      </c>
      <c r="BD35" t="s">
        <v>1465</v>
      </c>
      <c r="BE35" t="s">
        <v>1465</v>
      </c>
      <c r="BF35" t="s">
        <v>1465</v>
      </c>
      <c r="BG35" t="s">
        <v>1465</v>
      </c>
      <c r="BH35" t="s">
        <v>1465</v>
      </c>
      <c r="BI35" t="s">
        <v>1465</v>
      </c>
      <c r="BJ35" t="s">
        <v>1465</v>
      </c>
      <c r="BK35" t="s">
        <v>462</v>
      </c>
      <c r="BL35" t="s">
        <v>1465</v>
      </c>
      <c r="BM35" t="s">
        <v>1465</v>
      </c>
      <c r="BN35" t="s">
        <v>1465</v>
      </c>
      <c r="BO35" t="s">
        <v>1465</v>
      </c>
    </row>
    <row r="36" spans="1:67" x14ac:dyDescent="0.3">
      <c r="A36" t="s">
        <v>899</v>
      </c>
      <c r="B36" t="s">
        <v>900</v>
      </c>
      <c r="C36" t="s">
        <v>248</v>
      </c>
      <c r="D36" t="s">
        <v>248</v>
      </c>
      <c r="E36" t="s">
        <v>901</v>
      </c>
      <c r="F36" t="s">
        <v>156</v>
      </c>
      <c r="G36" t="s">
        <v>442</v>
      </c>
      <c r="H36" t="s">
        <v>902</v>
      </c>
      <c r="I36" t="s">
        <v>1465</v>
      </c>
      <c r="J36" t="s">
        <v>444</v>
      </c>
      <c r="K36" t="s">
        <v>903</v>
      </c>
      <c r="L36" t="s">
        <v>533</v>
      </c>
      <c r="M36" t="s">
        <v>181</v>
      </c>
      <c r="N36" t="s">
        <v>1465</v>
      </c>
      <c r="O36" t="s">
        <v>1465</v>
      </c>
      <c r="P36" t="s">
        <v>1465</v>
      </c>
      <c r="Q36" t="s">
        <v>1465</v>
      </c>
      <c r="R36" t="s">
        <v>1465</v>
      </c>
      <c r="S36" t="s">
        <v>1465</v>
      </c>
      <c r="T36" t="s">
        <v>1465</v>
      </c>
      <c r="U36" t="s">
        <v>1465</v>
      </c>
      <c r="V36" t="s">
        <v>1465</v>
      </c>
      <c r="W36" t="s">
        <v>1465</v>
      </c>
      <c r="X36" t="s">
        <v>1465</v>
      </c>
      <c r="Y36" t="s">
        <v>1465</v>
      </c>
      <c r="Z36" t="s">
        <v>1465</v>
      </c>
      <c r="AA36" t="s">
        <v>904</v>
      </c>
      <c r="AB36" t="s">
        <v>905</v>
      </c>
      <c r="AC36" t="s">
        <v>76</v>
      </c>
      <c r="AD36" t="s">
        <v>76</v>
      </c>
      <c r="AE36" t="s">
        <v>743</v>
      </c>
      <c r="AF36" t="s">
        <v>1465</v>
      </c>
      <c r="AG36" t="s">
        <v>1465</v>
      </c>
      <c r="AH36" t="s">
        <v>76</v>
      </c>
      <c r="AI36" t="s">
        <v>427</v>
      </c>
      <c r="AJ36" t="s">
        <v>1465</v>
      </c>
      <c r="AK36" t="s">
        <v>1465</v>
      </c>
      <c r="AL36" t="s">
        <v>1465</v>
      </c>
      <c r="AM36" t="s">
        <v>1465</v>
      </c>
      <c r="AN36" t="s">
        <v>1465</v>
      </c>
      <c r="AO36" t="s">
        <v>1465</v>
      </c>
      <c r="AP36" t="s">
        <v>906</v>
      </c>
      <c r="AQ36" t="s">
        <v>907</v>
      </c>
      <c r="AR36" t="s">
        <v>908</v>
      </c>
      <c r="AS36" t="s">
        <v>909</v>
      </c>
      <c r="AT36" t="s">
        <v>910</v>
      </c>
      <c r="AU36" t="s">
        <v>444</v>
      </c>
      <c r="AV36" t="s">
        <v>1465</v>
      </c>
      <c r="AW36" t="s">
        <v>1465</v>
      </c>
      <c r="AX36" t="s">
        <v>1465</v>
      </c>
      <c r="AY36" t="s">
        <v>1465</v>
      </c>
      <c r="AZ36" t="s">
        <v>1465</v>
      </c>
      <c r="BA36" t="s">
        <v>911</v>
      </c>
      <c r="BB36" t="s">
        <v>912</v>
      </c>
      <c r="BC36" t="s">
        <v>1465</v>
      </c>
      <c r="BD36" t="s">
        <v>1465</v>
      </c>
      <c r="BE36" t="s">
        <v>1465</v>
      </c>
      <c r="BF36" t="s">
        <v>1465</v>
      </c>
      <c r="BG36" t="s">
        <v>1465</v>
      </c>
      <c r="BH36" t="s">
        <v>1465</v>
      </c>
      <c r="BI36" t="s">
        <v>906</v>
      </c>
      <c r="BJ36" t="s">
        <v>1465</v>
      </c>
      <c r="BK36" t="s">
        <v>462</v>
      </c>
      <c r="BL36" t="s">
        <v>1465</v>
      </c>
      <c r="BM36" t="s">
        <v>1465</v>
      </c>
      <c r="BN36" t="s">
        <v>1465</v>
      </c>
      <c r="BO36" t="s">
        <v>1465</v>
      </c>
    </row>
    <row r="37" spans="1:67" x14ac:dyDescent="0.3">
      <c r="A37" t="s">
        <v>913</v>
      </c>
      <c r="B37" t="s">
        <v>154</v>
      </c>
      <c r="C37" t="s">
        <v>248</v>
      </c>
      <c r="D37" t="s">
        <v>248</v>
      </c>
      <c r="E37" t="s">
        <v>155</v>
      </c>
      <c r="F37" t="s">
        <v>156</v>
      </c>
      <c r="G37" t="s">
        <v>36</v>
      </c>
      <c r="H37" t="s">
        <v>1465</v>
      </c>
      <c r="I37" t="s">
        <v>376</v>
      </c>
      <c r="J37" t="s">
        <v>377</v>
      </c>
      <c r="K37" t="s">
        <v>903</v>
      </c>
      <c r="L37" t="s">
        <v>404</v>
      </c>
      <c r="M37" t="s">
        <v>35</v>
      </c>
      <c r="N37" t="s">
        <v>446</v>
      </c>
      <c r="O37" t="s">
        <v>914</v>
      </c>
      <c r="P37" t="s">
        <v>915</v>
      </c>
      <c r="Q37" t="s">
        <v>915</v>
      </c>
      <c r="R37" t="s">
        <v>1465</v>
      </c>
      <c r="S37" t="s">
        <v>248</v>
      </c>
      <c r="T37" t="s">
        <v>248</v>
      </c>
      <c r="U37" t="s">
        <v>248</v>
      </c>
      <c r="V37" t="s">
        <v>916</v>
      </c>
      <c r="W37" t="s">
        <v>1465</v>
      </c>
      <c r="X37" t="s">
        <v>916</v>
      </c>
      <c r="Y37" t="s">
        <v>45</v>
      </c>
      <c r="Z37" t="s">
        <v>1515</v>
      </c>
      <c r="AA37" t="s">
        <v>1465</v>
      </c>
      <c r="AB37" t="s">
        <v>1465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427</v>
      </c>
      <c r="AJ37" t="s">
        <v>390</v>
      </c>
      <c r="AK37" t="s">
        <v>45</v>
      </c>
      <c r="AL37" t="s">
        <v>45</v>
      </c>
      <c r="AM37" t="s">
        <v>1465</v>
      </c>
      <c r="AN37" t="s">
        <v>1516</v>
      </c>
      <c r="AO37" t="s">
        <v>1523</v>
      </c>
      <c r="AP37" t="s">
        <v>917</v>
      </c>
      <c r="AQ37" t="s">
        <v>918</v>
      </c>
      <c r="AR37" t="s">
        <v>919</v>
      </c>
      <c r="AS37" t="s">
        <v>920</v>
      </c>
      <c r="AT37" t="s">
        <v>921</v>
      </c>
      <c r="AU37" t="s">
        <v>398</v>
      </c>
      <c r="AV37" t="s">
        <v>1465</v>
      </c>
      <c r="AW37" t="s">
        <v>1465</v>
      </c>
      <c r="AX37" t="s">
        <v>1465</v>
      </c>
      <c r="AY37" t="s">
        <v>1465</v>
      </c>
      <c r="AZ37" t="s">
        <v>1465</v>
      </c>
      <c r="BA37" t="s">
        <v>735</v>
      </c>
      <c r="BB37" t="s">
        <v>922</v>
      </c>
      <c r="BC37" t="s">
        <v>1465</v>
      </c>
      <c r="BD37" t="s">
        <v>1465</v>
      </c>
      <c r="BE37" t="s">
        <v>1465</v>
      </c>
      <c r="BF37" t="s">
        <v>1465</v>
      </c>
      <c r="BG37" t="s">
        <v>1465</v>
      </c>
      <c r="BH37" t="s">
        <v>1465</v>
      </c>
      <c r="BI37" t="s">
        <v>917</v>
      </c>
      <c r="BJ37" t="s">
        <v>923</v>
      </c>
      <c r="BK37" t="s">
        <v>402</v>
      </c>
      <c r="BL37" t="s">
        <v>1465</v>
      </c>
      <c r="BM37" t="s">
        <v>1465</v>
      </c>
      <c r="BN37" t="s">
        <v>1465</v>
      </c>
      <c r="BO37" t="s">
        <v>1465</v>
      </c>
    </row>
    <row r="38" spans="1:67" x14ac:dyDescent="0.3">
      <c r="A38" t="s">
        <v>924</v>
      </c>
      <c r="B38" t="s">
        <v>103</v>
      </c>
      <c r="C38" t="s">
        <v>248</v>
      </c>
      <c r="D38" t="s">
        <v>248</v>
      </c>
      <c r="E38" t="s">
        <v>104</v>
      </c>
      <c r="F38" t="s">
        <v>105</v>
      </c>
      <c r="G38" t="s">
        <v>36</v>
      </c>
      <c r="H38" t="s">
        <v>925</v>
      </c>
      <c r="I38" t="s">
        <v>418</v>
      </c>
      <c r="J38" t="s">
        <v>377</v>
      </c>
      <c r="K38" t="s">
        <v>378</v>
      </c>
      <c r="L38" t="s">
        <v>404</v>
      </c>
      <c r="M38" t="s">
        <v>35</v>
      </c>
      <c r="N38" t="s">
        <v>382</v>
      </c>
      <c r="O38" t="s">
        <v>926</v>
      </c>
      <c r="P38" t="s">
        <v>382</v>
      </c>
      <c r="Q38" t="s">
        <v>420</v>
      </c>
      <c r="R38" t="s">
        <v>1465</v>
      </c>
      <c r="S38" t="s">
        <v>927</v>
      </c>
      <c r="T38" t="s">
        <v>385</v>
      </c>
      <c r="U38" t="s">
        <v>248</v>
      </c>
      <c r="V38" t="s">
        <v>928</v>
      </c>
      <c r="W38" t="s">
        <v>385</v>
      </c>
      <c r="X38" t="s">
        <v>929</v>
      </c>
      <c r="Y38" t="s">
        <v>66</v>
      </c>
      <c r="Z38" t="s">
        <v>424</v>
      </c>
      <c r="AA38" t="s">
        <v>930</v>
      </c>
      <c r="AB38" t="s">
        <v>931</v>
      </c>
      <c r="AC38" t="s">
        <v>37</v>
      </c>
      <c r="AD38" t="s">
        <v>76</v>
      </c>
      <c r="AE38" t="s">
        <v>182</v>
      </c>
      <c r="AF38" t="s">
        <v>182</v>
      </c>
      <c r="AG38" t="s">
        <v>182</v>
      </c>
      <c r="AH38" t="s">
        <v>76</v>
      </c>
      <c r="AI38" t="s">
        <v>389</v>
      </c>
      <c r="AJ38" t="s">
        <v>390</v>
      </c>
      <c r="AK38" t="s">
        <v>27</v>
      </c>
      <c r="AL38" t="s">
        <v>66</v>
      </c>
      <c r="AM38" t="s">
        <v>1465</v>
      </c>
      <c r="AN38" t="s">
        <v>1516</v>
      </c>
      <c r="AO38" t="s">
        <v>1524</v>
      </c>
      <c r="AP38" t="s">
        <v>932</v>
      </c>
      <c r="AQ38" t="s">
        <v>933</v>
      </c>
      <c r="AR38" t="s">
        <v>934</v>
      </c>
      <c r="AS38" t="s">
        <v>935</v>
      </c>
      <c r="AT38" t="s">
        <v>936</v>
      </c>
      <c r="AU38" t="s">
        <v>433</v>
      </c>
      <c r="AV38" t="s">
        <v>1465</v>
      </c>
      <c r="AW38" t="s">
        <v>1465</v>
      </c>
      <c r="AX38" t="s">
        <v>1465</v>
      </c>
      <c r="AY38" t="s">
        <v>1465</v>
      </c>
      <c r="AZ38" t="s">
        <v>1465</v>
      </c>
      <c r="BA38" t="s">
        <v>937</v>
      </c>
      <c r="BB38" t="s">
        <v>938</v>
      </c>
      <c r="BC38" t="s">
        <v>1465</v>
      </c>
      <c r="BD38" t="s">
        <v>1465</v>
      </c>
      <c r="BE38" t="s">
        <v>1465</v>
      </c>
      <c r="BF38" t="s">
        <v>1465</v>
      </c>
      <c r="BG38" t="s">
        <v>1465</v>
      </c>
      <c r="BH38" t="s">
        <v>1465</v>
      </c>
      <c r="BI38" t="s">
        <v>932</v>
      </c>
      <c r="BJ38" t="s">
        <v>939</v>
      </c>
      <c r="BK38" t="s">
        <v>402</v>
      </c>
      <c r="BL38" t="s">
        <v>1465</v>
      </c>
      <c r="BM38" t="s">
        <v>1465</v>
      </c>
      <c r="BN38" t="s">
        <v>1465</v>
      </c>
      <c r="BO38" t="s">
        <v>1465</v>
      </c>
    </row>
    <row r="39" spans="1:67" x14ac:dyDescent="0.3">
      <c r="A39" t="s">
        <v>940</v>
      </c>
      <c r="B39" t="s">
        <v>941</v>
      </c>
      <c r="C39" t="s">
        <v>248</v>
      </c>
      <c r="D39" t="s">
        <v>248</v>
      </c>
      <c r="E39" t="s">
        <v>942</v>
      </c>
      <c r="F39" t="s">
        <v>125</v>
      </c>
      <c r="G39" t="s">
        <v>442</v>
      </c>
      <c r="H39" t="s">
        <v>943</v>
      </c>
      <c r="I39" t="s">
        <v>1465</v>
      </c>
      <c r="J39" t="s">
        <v>444</v>
      </c>
      <c r="K39" t="s">
        <v>882</v>
      </c>
      <c r="L39" t="s">
        <v>404</v>
      </c>
      <c r="M39" t="s">
        <v>25</v>
      </c>
      <c r="N39" t="s">
        <v>681</v>
      </c>
      <c r="O39" t="s">
        <v>944</v>
      </c>
      <c r="P39" t="s">
        <v>1465</v>
      </c>
      <c r="Q39" t="s">
        <v>1465</v>
      </c>
      <c r="R39" t="s">
        <v>1465</v>
      </c>
      <c r="S39" t="s">
        <v>1465</v>
      </c>
      <c r="T39" t="s">
        <v>1465</v>
      </c>
      <c r="U39" t="s">
        <v>1465</v>
      </c>
      <c r="V39" t="s">
        <v>1465</v>
      </c>
      <c r="W39" t="s">
        <v>1465</v>
      </c>
      <c r="X39" t="s">
        <v>1465</v>
      </c>
      <c r="Y39" t="s">
        <v>1465</v>
      </c>
      <c r="Z39" t="s">
        <v>1465</v>
      </c>
      <c r="AA39" t="s">
        <v>945</v>
      </c>
      <c r="AB39" t="s">
        <v>946</v>
      </c>
      <c r="AC39" t="s">
        <v>76</v>
      </c>
      <c r="AD39" t="s">
        <v>76</v>
      </c>
      <c r="AE39" t="s">
        <v>947</v>
      </c>
      <c r="AF39" t="s">
        <v>1465</v>
      </c>
      <c r="AG39" t="s">
        <v>1465</v>
      </c>
      <c r="AH39" t="s">
        <v>76</v>
      </c>
      <c r="AI39" t="s">
        <v>427</v>
      </c>
      <c r="AJ39" t="s">
        <v>1465</v>
      </c>
      <c r="AK39" t="s">
        <v>1465</v>
      </c>
      <c r="AL39" t="s">
        <v>1465</v>
      </c>
      <c r="AM39" t="s">
        <v>1465</v>
      </c>
      <c r="AN39" t="s">
        <v>1465</v>
      </c>
      <c r="AO39" t="s">
        <v>1465</v>
      </c>
      <c r="AP39" t="s">
        <v>948</v>
      </c>
      <c r="AQ39" t="s">
        <v>949</v>
      </c>
      <c r="AR39" t="s">
        <v>950</v>
      </c>
      <c r="AS39" t="s">
        <v>951</v>
      </c>
      <c r="AT39" t="s">
        <v>952</v>
      </c>
      <c r="AU39" t="s">
        <v>444</v>
      </c>
      <c r="AV39" t="s">
        <v>1465</v>
      </c>
      <c r="AW39" t="s">
        <v>1465</v>
      </c>
      <c r="AX39" t="s">
        <v>1465</v>
      </c>
      <c r="AY39" t="s">
        <v>1465</v>
      </c>
      <c r="AZ39" t="s">
        <v>1465</v>
      </c>
      <c r="BA39" t="s">
        <v>953</v>
      </c>
      <c r="BB39" t="s">
        <v>954</v>
      </c>
      <c r="BC39" t="s">
        <v>1465</v>
      </c>
      <c r="BD39" t="s">
        <v>1465</v>
      </c>
      <c r="BE39" t="s">
        <v>1465</v>
      </c>
      <c r="BF39" t="s">
        <v>1465</v>
      </c>
      <c r="BG39" t="s">
        <v>1465</v>
      </c>
      <c r="BH39" t="s">
        <v>1465</v>
      </c>
      <c r="BI39" t="s">
        <v>955</v>
      </c>
      <c r="BJ39" t="s">
        <v>956</v>
      </c>
      <c r="BK39" t="s">
        <v>462</v>
      </c>
      <c r="BL39" t="s">
        <v>1465</v>
      </c>
      <c r="BM39" t="s">
        <v>1465</v>
      </c>
      <c r="BN39" t="s">
        <v>1465</v>
      </c>
      <c r="BO39" t="s">
        <v>1465</v>
      </c>
    </row>
    <row r="40" spans="1:67" x14ac:dyDescent="0.3">
      <c r="A40" t="s">
        <v>957</v>
      </c>
      <c r="B40" t="s">
        <v>197</v>
      </c>
      <c r="C40" t="s">
        <v>248</v>
      </c>
      <c r="D40" t="s">
        <v>248</v>
      </c>
      <c r="E40" t="s">
        <v>198</v>
      </c>
      <c r="F40" t="s">
        <v>125</v>
      </c>
      <c r="G40" t="s">
        <v>36</v>
      </c>
      <c r="H40" t="s">
        <v>1465</v>
      </c>
      <c r="I40" t="s">
        <v>958</v>
      </c>
      <c r="J40" t="s">
        <v>633</v>
      </c>
      <c r="K40" t="s">
        <v>634</v>
      </c>
      <c r="L40" t="s">
        <v>404</v>
      </c>
      <c r="M40" t="s">
        <v>35</v>
      </c>
      <c r="N40" t="s">
        <v>469</v>
      </c>
      <c r="O40" t="s">
        <v>635</v>
      </c>
      <c r="P40" t="s">
        <v>679</v>
      </c>
      <c r="Q40" t="s">
        <v>420</v>
      </c>
      <c r="R40" t="s">
        <v>1465</v>
      </c>
      <c r="S40" t="s">
        <v>248</v>
      </c>
      <c r="T40" t="s">
        <v>248</v>
      </c>
      <c r="U40" t="s">
        <v>248</v>
      </c>
      <c r="V40" t="s">
        <v>959</v>
      </c>
      <c r="W40" t="s">
        <v>385</v>
      </c>
      <c r="X40" t="s">
        <v>959</v>
      </c>
      <c r="Y40" t="s">
        <v>45</v>
      </c>
      <c r="Z40" t="s">
        <v>1515</v>
      </c>
      <c r="AA40" t="s">
        <v>960</v>
      </c>
      <c r="AB40" t="s">
        <v>961</v>
      </c>
      <c r="AC40" t="s">
        <v>37</v>
      </c>
      <c r="AD40" t="s">
        <v>76</v>
      </c>
      <c r="AE40" t="s">
        <v>107</v>
      </c>
      <c r="AF40" t="s">
        <v>107</v>
      </c>
      <c r="AG40" t="s">
        <v>107</v>
      </c>
      <c r="AH40" t="s">
        <v>76</v>
      </c>
      <c r="AI40" t="s">
        <v>389</v>
      </c>
      <c r="AJ40" t="s">
        <v>390</v>
      </c>
      <c r="AK40" t="s">
        <v>53</v>
      </c>
      <c r="AL40" t="s">
        <v>45</v>
      </c>
      <c r="AM40" t="s">
        <v>1465</v>
      </c>
      <c r="AN40" t="s">
        <v>1516</v>
      </c>
      <c r="AO40" t="s">
        <v>1525</v>
      </c>
      <c r="AP40" t="s">
        <v>962</v>
      </c>
      <c r="AQ40" t="s">
        <v>963</v>
      </c>
      <c r="AR40" t="s">
        <v>964</v>
      </c>
      <c r="AS40" t="s">
        <v>965</v>
      </c>
      <c r="AT40" t="s">
        <v>966</v>
      </c>
      <c r="AU40" t="s">
        <v>967</v>
      </c>
      <c r="AV40" t="s">
        <v>1465</v>
      </c>
      <c r="AW40" t="s">
        <v>1465</v>
      </c>
      <c r="AX40" t="s">
        <v>968</v>
      </c>
      <c r="AY40" t="s">
        <v>1465</v>
      </c>
      <c r="AZ40" t="s">
        <v>1465</v>
      </c>
      <c r="BA40" t="s">
        <v>969</v>
      </c>
      <c r="BB40" t="s">
        <v>970</v>
      </c>
      <c r="BC40" t="s">
        <v>1465</v>
      </c>
      <c r="BD40" t="s">
        <v>1465</v>
      </c>
      <c r="BE40" t="s">
        <v>1465</v>
      </c>
      <c r="BF40" t="s">
        <v>1465</v>
      </c>
      <c r="BG40" t="s">
        <v>1465</v>
      </c>
      <c r="BH40" t="s">
        <v>1465</v>
      </c>
      <c r="BI40" t="s">
        <v>971</v>
      </c>
      <c r="BJ40" t="s">
        <v>972</v>
      </c>
      <c r="BK40" t="s">
        <v>402</v>
      </c>
      <c r="BL40" t="s">
        <v>1465</v>
      </c>
      <c r="BM40" t="s">
        <v>1465</v>
      </c>
      <c r="BN40" t="s">
        <v>1465</v>
      </c>
      <c r="BO40" t="s">
        <v>1465</v>
      </c>
    </row>
    <row r="41" spans="1:67" x14ac:dyDescent="0.3">
      <c r="A41" t="s">
        <v>973</v>
      </c>
      <c r="B41" t="s">
        <v>143</v>
      </c>
      <c r="C41" t="s">
        <v>1555</v>
      </c>
      <c r="D41" t="s">
        <v>1556</v>
      </c>
      <c r="E41" t="s">
        <v>144</v>
      </c>
      <c r="F41" t="s">
        <v>145</v>
      </c>
      <c r="G41" t="s">
        <v>36</v>
      </c>
      <c r="H41" t="s">
        <v>974</v>
      </c>
      <c r="I41" t="s">
        <v>975</v>
      </c>
      <c r="J41" t="s">
        <v>633</v>
      </c>
      <c r="K41" t="s">
        <v>882</v>
      </c>
      <c r="L41" t="s">
        <v>1540</v>
      </c>
      <c r="M41" t="s">
        <v>35</v>
      </c>
      <c r="N41" t="s">
        <v>681</v>
      </c>
      <c r="O41" t="s">
        <v>976</v>
      </c>
      <c r="P41" t="s">
        <v>420</v>
      </c>
      <c r="Q41" t="s">
        <v>603</v>
      </c>
      <c r="R41" t="s">
        <v>1465</v>
      </c>
      <c r="S41" t="s">
        <v>977</v>
      </c>
      <c r="T41" t="s">
        <v>385</v>
      </c>
      <c r="U41" t="s">
        <v>248</v>
      </c>
      <c r="V41" t="s">
        <v>977</v>
      </c>
      <c r="W41" t="s">
        <v>385</v>
      </c>
      <c r="X41" t="s">
        <v>248</v>
      </c>
      <c r="Y41" t="s">
        <v>1465</v>
      </c>
      <c r="Z41" t="s">
        <v>1465</v>
      </c>
      <c r="AA41" t="s">
        <v>978</v>
      </c>
      <c r="AB41" t="s">
        <v>979</v>
      </c>
      <c r="AC41" t="s">
        <v>37</v>
      </c>
      <c r="AD41" t="s">
        <v>37</v>
      </c>
      <c r="AE41" t="s">
        <v>146</v>
      </c>
      <c r="AF41" t="s">
        <v>146</v>
      </c>
      <c r="AG41" t="s">
        <v>146</v>
      </c>
      <c r="AH41" t="s">
        <v>76</v>
      </c>
      <c r="AI41" t="s">
        <v>389</v>
      </c>
      <c r="AJ41" t="s">
        <v>390</v>
      </c>
      <c r="AK41" t="s">
        <v>60</v>
      </c>
      <c r="AL41" t="s">
        <v>53</v>
      </c>
      <c r="AM41" t="s">
        <v>1465</v>
      </c>
      <c r="AN41" t="s">
        <v>980</v>
      </c>
      <c r="AO41" t="s">
        <v>981</v>
      </c>
      <c r="AP41" t="s">
        <v>982</v>
      </c>
      <c r="AQ41" t="s">
        <v>983</v>
      </c>
      <c r="AR41" t="s">
        <v>984</v>
      </c>
      <c r="AS41" t="s">
        <v>985</v>
      </c>
      <c r="AT41" t="s">
        <v>986</v>
      </c>
      <c r="AU41" t="s">
        <v>987</v>
      </c>
      <c r="AV41" t="s">
        <v>1465</v>
      </c>
      <c r="AW41" t="s">
        <v>1465</v>
      </c>
      <c r="AX41" t="s">
        <v>1465</v>
      </c>
      <c r="AY41" t="s">
        <v>1465</v>
      </c>
      <c r="AZ41" t="s">
        <v>1465</v>
      </c>
      <c r="BA41" t="s">
        <v>988</v>
      </c>
      <c r="BB41" t="s">
        <v>989</v>
      </c>
      <c r="BC41" t="s">
        <v>1465</v>
      </c>
      <c r="BD41" t="s">
        <v>1465</v>
      </c>
      <c r="BE41" t="s">
        <v>1465</v>
      </c>
      <c r="BF41" t="s">
        <v>1465</v>
      </c>
      <c r="BG41" t="s">
        <v>1465</v>
      </c>
      <c r="BH41" t="s">
        <v>1465</v>
      </c>
      <c r="BI41" t="s">
        <v>982</v>
      </c>
      <c r="BJ41" t="s">
        <v>990</v>
      </c>
      <c r="BK41" t="s">
        <v>402</v>
      </c>
      <c r="BL41" t="s">
        <v>1465</v>
      </c>
      <c r="BM41" t="s">
        <v>1465</v>
      </c>
      <c r="BN41" t="s">
        <v>1465</v>
      </c>
      <c r="BO41" t="s">
        <v>1465</v>
      </c>
    </row>
    <row r="42" spans="1:67" x14ac:dyDescent="0.3">
      <c r="A42" t="s">
        <v>991</v>
      </c>
      <c r="B42" t="s">
        <v>194</v>
      </c>
      <c r="C42" t="s">
        <v>248</v>
      </c>
      <c r="D42" t="s">
        <v>248</v>
      </c>
      <c r="E42" t="s">
        <v>195</v>
      </c>
      <c r="F42" t="s">
        <v>145</v>
      </c>
      <c r="G42" t="s">
        <v>36</v>
      </c>
      <c r="H42" t="s">
        <v>1465</v>
      </c>
      <c r="I42" t="s">
        <v>975</v>
      </c>
      <c r="J42" t="s">
        <v>633</v>
      </c>
      <c r="K42" t="s">
        <v>882</v>
      </c>
      <c r="L42" t="s">
        <v>404</v>
      </c>
      <c r="M42" t="s">
        <v>35</v>
      </c>
      <c r="N42" t="s">
        <v>681</v>
      </c>
      <c r="O42" t="s">
        <v>992</v>
      </c>
      <c r="P42" t="s">
        <v>681</v>
      </c>
      <c r="Q42" t="s">
        <v>420</v>
      </c>
      <c r="R42" t="s">
        <v>1465</v>
      </c>
      <c r="S42" t="s">
        <v>248</v>
      </c>
      <c r="T42" t="s">
        <v>248</v>
      </c>
      <c r="U42" t="s">
        <v>248</v>
      </c>
      <c r="V42" t="s">
        <v>993</v>
      </c>
      <c r="W42" t="s">
        <v>385</v>
      </c>
      <c r="X42" t="s">
        <v>248</v>
      </c>
      <c r="Y42" t="s">
        <v>1465</v>
      </c>
      <c r="Z42" t="s">
        <v>1465</v>
      </c>
      <c r="AA42" t="s">
        <v>994</v>
      </c>
      <c r="AB42" t="s">
        <v>995</v>
      </c>
      <c r="AC42" t="s">
        <v>37</v>
      </c>
      <c r="AD42" t="s">
        <v>76</v>
      </c>
      <c r="AE42" t="s">
        <v>196</v>
      </c>
      <c r="AF42" t="s">
        <v>196</v>
      </c>
      <c r="AG42" t="s">
        <v>196</v>
      </c>
      <c r="AH42" t="s">
        <v>76</v>
      </c>
      <c r="AI42" t="s">
        <v>389</v>
      </c>
      <c r="AJ42" t="s">
        <v>390</v>
      </c>
      <c r="AK42" t="s">
        <v>27</v>
      </c>
      <c r="AL42" t="s">
        <v>27</v>
      </c>
      <c r="AM42" t="s">
        <v>1465</v>
      </c>
      <c r="AN42" t="s">
        <v>590</v>
      </c>
      <c r="AO42" t="s">
        <v>996</v>
      </c>
      <c r="AP42" t="s">
        <v>997</v>
      </c>
      <c r="AQ42" t="s">
        <v>998</v>
      </c>
      <c r="AR42" t="s">
        <v>999</v>
      </c>
      <c r="AS42" t="s">
        <v>1000</v>
      </c>
      <c r="AT42" t="s">
        <v>1001</v>
      </c>
      <c r="AU42" t="s">
        <v>987</v>
      </c>
      <c r="AV42" t="s">
        <v>1465</v>
      </c>
      <c r="AW42" t="s">
        <v>1465</v>
      </c>
      <c r="AX42" t="s">
        <v>1465</v>
      </c>
      <c r="AY42" t="s">
        <v>1465</v>
      </c>
      <c r="AZ42" t="s">
        <v>1465</v>
      </c>
      <c r="BA42" t="s">
        <v>988</v>
      </c>
      <c r="BB42" t="s">
        <v>1002</v>
      </c>
      <c r="BC42" t="s">
        <v>1465</v>
      </c>
      <c r="BD42" t="s">
        <v>1465</v>
      </c>
      <c r="BE42" t="s">
        <v>1465</v>
      </c>
      <c r="BF42" t="s">
        <v>1465</v>
      </c>
      <c r="BG42" t="s">
        <v>1465</v>
      </c>
      <c r="BH42" t="s">
        <v>1465</v>
      </c>
      <c r="BI42" t="s">
        <v>997</v>
      </c>
      <c r="BJ42" t="s">
        <v>1003</v>
      </c>
      <c r="BK42" t="s">
        <v>402</v>
      </c>
      <c r="BL42" t="s">
        <v>1465</v>
      </c>
      <c r="BM42" t="s">
        <v>1465</v>
      </c>
      <c r="BN42" t="s">
        <v>1465</v>
      </c>
      <c r="BO42" t="s">
        <v>1465</v>
      </c>
    </row>
    <row r="43" spans="1:67" x14ac:dyDescent="0.3">
      <c r="A43" t="s">
        <v>1004</v>
      </c>
      <c r="B43" t="s">
        <v>1005</v>
      </c>
      <c r="C43" t="s">
        <v>1465</v>
      </c>
      <c r="D43" t="s">
        <v>1465</v>
      </c>
      <c r="E43" t="s">
        <v>1006</v>
      </c>
      <c r="F43" t="s">
        <v>145</v>
      </c>
      <c r="G43" t="s">
        <v>442</v>
      </c>
      <c r="H43" t="s">
        <v>1007</v>
      </c>
      <c r="I43" t="s">
        <v>816</v>
      </c>
      <c r="J43" t="s">
        <v>377</v>
      </c>
      <c r="K43" t="s">
        <v>882</v>
      </c>
      <c r="L43" t="s">
        <v>404</v>
      </c>
      <c r="M43" t="s">
        <v>35</v>
      </c>
      <c r="N43" t="s">
        <v>681</v>
      </c>
      <c r="O43" t="s">
        <v>1008</v>
      </c>
      <c r="P43" t="s">
        <v>818</v>
      </c>
      <c r="Q43" t="s">
        <v>420</v>
      </c>
      <c r="R43" t="s">
        <v>1465</v>
      </c>
      <c r="S43" t="s">
        <v>1465</v>
      </c>
      <c r="T43" t="s">
        <v>1465</v>
      </c>
      <c r="U43" t="s">
        <v>1465</v>
      </c>
      <c r="V43" t="s">
        <v>1465</v>
      </c>
      <c r="W43" t="s">
        <v>1465</v>
      </c>
      <c r="X43" t="s">
        <v>248</v>
      </c>
      <c r="Y43" t="s">
        <v>1465</v>
      </c>
      <c r="Z43" t="s">
        <v>1465</v>
      </c>
      <c r="AA43" t="s">
        <v>1009</v>
      </c>
      <c r="AB43" t="s">
        <v>1010</v>
      </c>
      <c r="AC43" t="s">
        <v>80</v>
      </c>
      <c r="AD43" t="s">
        <v>1465</v>
      </c>
      <c r="AE43" t="s">
        <v>126</v>
      </c>
      <c r="AF43" t="s">
        <v>1465</v>
      </c>
      <c r="AG43" t="s">
        <v>1465</v>
      </c>
      <c r="AH43" t="s">
        <v>76</v>
      </c>
      <c r="AI43" t="s">
        <v>427</v>
      </c>
      <c r="AJ43" t="s">
        <v>1465</v>
      </c>
      <c r="AK43" t="s">
        <v>1465</v>
      </c>
      <c r="AL43" t="s">
        <v>1465</v>
      </c>
      <c r="AM43" t="s">
        <v>1465</v>
      </c>
      <c r="AN43" t="s">
        <v>1465</v>
      </c>
      <c r="AO43" t="s">
        <v>1465</v>
      </c>
      <c r="AP43" t="s">
        <v>1011</v>
      </c>
      <c r="AQ43" t="s">
        <v>1012</v>
      </c>
      <c r="AR43" t="s">
        <v>1013</v>
      </c>
      <c r="AS43" t="s">
        <v>1014</v>
      </c>
      <c r="AT43" t="s">
        <v>1015</v>
      </c>
      <c r="AU43" t="s">
        <v>829</v>
      </c>
      <c r="AV43" t="s">
        <v>1465</v>
      </c>
      <c r="AW43" t="s">
        <v>1465</v>
      </c>
      <c r="AX43" t="s">
        <v>1465</v>
      </c>
      <c r="AY43" t="s">
        <v>1465</v>
      </c>
      <c r="AZ43" t="s">
        <v>1465</v>
      </c>
      <c r="BA43" t="s">
        <v>847</v>
      </c>
      <c r="BB43" t="s">
        <v>1016</v>
      </c>
      <c r="BC43" t="s">
        <v>1465</v>
      </c>
      <c r="BD43" t="s">
        <v>1465</v>
      </c>
      <c r="BE43" t="s">
        <v>1465</v>
      </c>
      <c r="BF43" t="s">
        <v>1465</v>
      </c>
      <c r="BG43" t="s">
        <v>1465</v>
      </c>
      <c r="BH43" t="s">
        <v>1465</v>
      </c>
      <c r="BI43" t="s">
        <v>1011</v>
      </c>
      <c r="BJ43" t="s">
        <v>1017</v>
      </c>
      <c r="BK43" t="s">
        <v>1465</v>
      </c>
      <c r="BL43" t="s">
        <v>1465</v>
      </c>
      <c r="BM43" t="s">
        <v>1465</v>
      </c>
      <c r="BN43" t="s">
        <v>1465</v>
      </c>
      <c r="BO43" t="s">
        <v>1465</v>
      </c>
    </row>
    <row r="44" spans="1:67" x14ac:dyDescent="0.3">
      <c r="A44" t="s">
        <v>1018</v>
      </c>
      <c r="B44" t="s">
        <v>174</v>
      </c>
      <c r="C44" t="s">
        <v>248</v>
      </c>
      <c r="D44" t="s">
        <v>248</v>
      </c>
      <c r="E44" t="s">
        <v>175</v>
      </c>
      <c r="F44" t="s">
        <v>176</v>
      </c>
      <c r="G44" t="s">
        <v>36</v>
      </c>
      <c r="H44" t="s">
        <v>1465</v>
      </c>
      <c r="I44" t="s">
        <v>958</v>
      </c>
      <c r="J44" t="s">
        <v>633</v>
      </c>
      <c r="K44" t="s">
        <v>634</v>
      </c>
      <c r="L44" t="s">
        <v>404</v>
      </c>
      <c r="M44" t="s">
        <v>50</v>
      </c>
      <c r="N44" t="s">
        <v>1019</v>
      </c>
      <c r="O44" t="s">
        <v>1020</v>
      </c>
      <c r="P44" t="s">
        <v>446</v>
      </c>
      <c r="Q44" t="s">
        <v>420</v>
      </c>
      <c r="R44" t="s">
        <v>1465</v>
      </c>
      <c r="S44" t="s">
        <v>738</v>
      </c>
      <c r="T44" t="s">
        <v>248</v>
      </c>
      <c r="U44" t="s">
        <v>248</v>
      </c>
      <c r="V44" t="s">
        <v>1021</v>
      </c>
      <c r="W44" t="s">
        <v>67</v>
      </c>
      <c r="X44" t="s">
        <v>1021</v>
      </c>
      <c r="Y44" t="s">
        <v>67</v>
      </c>
      <c r="Z44" t="s">
        <v>1515</v>
      </c>
      <c r="AA44" t="s">
        <v>1465</v>
      </c>
      <c r="AB44" t="s">
        <v>1465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427</v>
      </c>
      <c r="AJ44" t="s">
        <v>390</v>
      </c>
      <c r="AK44" t="s">
        <v>67</v>
      </c>
      <c r="AL44" t="s">
        <v>67</v>
      </c>
      <c r="AM44" t="s">
        <v>1465</v>
      </c>
      <c r="AN44" t="s">
        <v>1518</v>
      </c>
      <c r="AO44" t="s">
        <v>1557</v>
      </c>
      <c r="AP44" t="s">
        <v>1022</v>
      </c>
      <c r="AQ44" t="s">
        <v>1023</v>
      </c>
      <c r="AR44" t="s">
        <v>1024</v>
      </c>
      <c r="AS44" t="s">
        <v>1025</v>
      </c>
      <c r="AT44" t="s">
        <v>1026</v>
      </c>
      <c r="AU44" t="s">
        <v>967</v>
      </c>
      <c r="AV44" t="s">
        <v>1465</v>
      </c>
      <c r="AW44" t="s">
        <v>1465</v>
      </c>
      <c r="AX44" t="s">
        <v>1465</v>
      </c>
      <c r="AY44" t="s">
        <v>1465</v>
      </c>
      <c r="AZ44" t="s">
        <v>1465</v>
      </c>
      <c r="BA44" t="s">
        <v>969</v>
      </c>
      <c r="BB44" t="s">
        <v>1027</v>
      </c>
      <c r="BC44" t="s">
        <v>1465</v>
      </c>
      <c r="BD44" t="s">
        <v>1465</v>
      </c>
      <c r="BE44" t="s">
        <v>1465</v>
      </c>
      <c r="BF44" t="s">
        <v>1465</v>
      </c>
      <c r="BG44" t="s">
        <v>1465</v>
      </c>
      <c r="BH44" t="s">
        <v>1465</v>
      </c>
      <c r="BI44" t="s">
        <v>1028</v>
      </c>
      <c r="BJ44" t="s">
        <v>1029</v>
      </c>
      <c r="BK44" t="s">
        <v>402</v>
      </c>
      <c r="BL44" t="s">
        <v>1465</v>
      </c>
      <c r="BM44" t="s">
        <v>1465</v>
      </c>
      <c r="BN44" t="s">
        <v>1465</v>
      </c>
      <c r="BO44" t="s">
        <v>1465</v>
      </c>
    </row>
    <row r="45" spans="1:67" x14ac:dyDescent="0.3">
      <c r="A45" t="s">
        <v>1030</v>
      </c>
      <c r="B45" t="s">
        <v>177</v>
      </c>
      <c r="C45" t="s">
        <v>248</v>
      </c>
      <c r="D45" t="s">
        <v>248</v>
      </c>
      <c r="E45" t="s">
        <v>178</v>
      </c>
      <c r="F45" t="s">
        <v>176</v>
      </c>
      <c r="G45" t="s">
        <v>36</v>
      </c>
      <c r="H45" t="s">
        <v>1465</v>
      </c>
      <c r="I45" t="s">
        <v>958</v>
      </c>
      <c r="J45" t="s">
        <v>633</v>
      </c>
      <c r="K45" t="s">
        <v>634</v>
      </c>
      <c r="L45" t="s">
        <v>404</v>
      </c>
      <c r="M45" t="s">
        <v>50</v>
      </c>
      <c r="N45" t="s">
        <v>1019</v>
      </c>
      <c r="O45" t="s">
        <v>1031</v>
      </c>
      <c r="P45" t="s">
        <v>446</v>
      </c>
      <c r="Q45" t="s">
        <v>420</v>
      </c>
      <c r="R45" t="s">
        <v>1465</v>
      </c>
      <c r="S45" t="s">
        <v>248</v>
      </c>
      <c r="T45" t="s">
        <v>248</v>
      </c>
      <c r="U45" t="s">
        <v>248</v>
      </c>
      <c r="V45" t="s">
        <v>1032</v>
      </c>
      <c r="W45" t="s">
        <v>385</v>
      </c>
      <c r="X45" t="s">
        <v>248</v>
      </c>
      <c r="Y45" t="s">
        <v>1465</v>
      </c>
      <c r="Z45" t="s">
        <v>1465</v>
      </c>
      <c r="AA45" t="s">
        <v>1033</v>
      </c>
      <c r="AB45" t="s">
        <v>1034</v>
      </c>
      <c r="AC45" t="s">
        <v>112</v>
      </c>
      <c r="AD45" t="s">
        <v>76</v>
      </c>
      <c r="AE45" t="s">
        <v>107</v>
      </c>
      <c r="AF45" t="s">
        <v>107</v>
      </c>
      <c r="AG45" t="s">
        <v>107</v>
      </c>
      <c r="AH45" t="s">
        <v>76</v>
      </c>
      <c r="AI45" t="s">
        <v>389</v>
      </c>
      <c r="AJ45" t="s">
        <v>390</v>
      </c>
      <c r="AK45" t="s">
        <v>27</v>
      </c>
      <c r="AL45" t="s">
        <v>52</v>
      </c>
      <c r="AM45" t="s">
        <v>1465</v>
      </c>
      <c r="AN45" t="s">
        <v>621</v>
      </c>
      <c r="AO45" t="s">
        <v>1035</v>
      </c>
      <c r="AP45" t="s">
        <v>1036</v>
      </c>
      <c r="AQ45" t="s">
        <v>1037</v>
      </c>
      <c r="AR45" t="s">
        <v>1038</v>
      </c>
      <c r="AS45" t="s">
        <v>1039</v>
      </c>
      <c r="AT45" t="s">
        <v>1040</v>
      </c>
      <c r="AU45" t="s">
        <v>967</v>
      </c>
      <c r="AV45" t="s">
        <v>1465</v>
      </c>
      <c r="AW45" t="s">
        <v>1465</v>
      </c>
      <c r="AX45" t="s">
        <v>1465</v>
      </c>
      <c r="AY45" t="s">
        <v>1465</v>
      </c>
      <c r="AZ45" t="s">
        <v>1465</v>
      </c>
      <c r="BA45" t="s">
        <v>969</v>
      </c>
      <c r="BB45" t="s">
        <v>1041</v>
      </c>
      <c r="BC45" t="s">
        <v>1465</v>
      </c>
      <c r="BD45" t="s">
        <v>1465</v>
      </c>
      <c r="BE45" t="s">
        <v>1465</v>
      </c>
      <c r="BF45" t="s">
        <v>1465</v>
      </c>
      <c r="BG45" t="s">
        <v>1465</v>
      </c>
      <c r="BH45" t="s">
        <v>1465</v>
      </c>
      <c r="BI45" t="s">
        <v>1042</v>
      </c>
      <c r="BJ45" t="s">
        <v>1043</v>
      </c>
      <c r="BK45" t="s">
        <v>402</v>
      </c>
      <c r="BL45" t="s">
        <v>1465</v>
      </c>
      <c r="BM45" t="s">
        <v>1465</v>
      </c>
      <c r="BN45" t="s">
        <v>1465</v>
      </c>
      <c r="BO45" t="s">
        <v>1465</v>
      </c>
    </row>
    <row r="46" spans="1:67" x14ac:dyDescent="0.3">
      <c r="A46" t="s">
        <v>1044</v>
      </c>
      <c r="B46" t="s">
        <v>1045</v>
      </c>
      <c r="C46" t="s">
        <v>1465</v>
      </c>
      <c r="D46" t="s">
        <v>1465</v>
      </c>
      <c r="E46" t="s">
        <v>1046</v>
      </c>
      <c r="F46" t="s">
        <v>208</v>
      </c>
      <c r="G46" t="s">
        <v>1526</v>
      </c>
      <c r="H46" t="s">
        <v>1047</v>
      </c>
      <c r="I46" t="s">
        <v>778</v>
      </c>
      <c r="J46" t="s">
        <v>633</v>
      </c>
      <c r="K46" t="s">
        <v>1550</v>
      </c>
      <c r="L46" t="s">
        <v>404</v>
      </c>
      <c r="M46" t="s">
        <v>1048</v>
      </c>
      <c r="N46" t="s">
        <v>1049</v>
      </c>
      <c r="O46" t="s">
        <v>1050</v>
      </c>
      <c r="P46" t="s">
        <v>1465</v>
      </c>
      <c r="Q46" t="s">
        <v>1465</v>
      </c>
      <c r="R46" t="s">
        <v>1465</v>
      </c>
      <c r="S46" t="s">
        <v>1051</v>
      </c>
      <c r="T46" t="s">
        <v>1465</v>
      </c>
      <c r="U46" t="s">
        <v>1052</v>
      </c>
      <c r="V46" t="s">
        <v>1053</v>
      </c>
      <c r="W46" t="s">
        <v>1465</v>
      </c>
      <c r="X46" t="s">
        <v>1497</v>
      </c>
      <c r="Y46" t="s">
        <v>1465</v>
      </c>
      <c r="Z46" t="s">
        <v>755</v>
      </c>
      <c r="AA46" t="s">
        <v>1054</v>
      </c>
      <c r="AB46" t="s">
        <v>1055</v>
      </c>
      <c r="AC46" t="s">
        <v>37</v>
      </c>
      <c r="AD46" t="s">
        <v>1465</v>
      </c>
      <c r="AE46" t="s">
        <v>196</v>
      </c>
      <c r="AF46" t="s">
        <v>1465</v>
      </c>
      <c r="AG46" t="s">
        <v>1465</v>
      </c>
      <c r="AH46" t="s">
        <v>76</v>
      </c>
      <c r="AI46" t="s">
        <v>427</v>
      </c>
      <c r="AJ46" t="s">
        <v>1470</v>
      </c>
      <c r="AK46" t="s">
        <v>1465</v>
      </c>
      <c r="AL46" t="s">
        <v>1465</v>
      </c>
      <c r="AM46" t="s">
        <v>1465</v>
      </c>
      <c r="AN46" t="s">
        <v>1465</v>
      </c>
      <c r="AO46" t="s">
        <v>1465</v>
      </c>
      <c r="AP46" t="s">
        <v>1056</v>
      </c>
      <c r="AQ46" t="s">
        <v>1057</v>
      </c>
      <c r="AR46" t="s">
        <v>1058</v>
      </c>
      <c r="AS46" t="s">
        <v>1059</v>
      </c>
      <c r="AT46" t="s">
        <v>1060</v>
      </c>
      <c r="AU46" t="s">
        <v>788</v>
      </c>
      <c r="AV46" t="s">
        <v>1465</v>
      </c>
      <c r="AW46" t="s">
        <v>1465</v>
      </c>
      <c r="AX46" t="s">
        <v>1465</v>
      </c>
      <c r="AY46" t="s">
        <v>1465</v>
      </c>
      <c r="AZ46" t="s">
        <v>1465</v>
      </c>
      <c r="BA46" t="s">
        <v>1061</v>
      </c>
      <c r="BB46" t="s">
        <v>1062</v>
      </c>
      <c r="BC46" t="s">
        <v>1465</v>
      </c>
      <c r="BD46" t="s">
        <v>1465</v>
      </c>
      <c r="BE46" t="s">
        <v>1465</v>
      </c>
      <c r="BF46" t="s">
        <v>1465</v>
      </c>
      <c r="BG46" t="s">
        <v>1465</v>
      </c>
      <c r="BH46" t="s">
        <v>1465</v>
      </c>
      <c r="BI46" t="s">
        <v>1056</v>
      </c>
      <c r="BJ46" t="s">
        <v>1063</v>
      </c>
      <c r="BK46" t="s">
        <v>462</v>
      </c>
      <c r="BL46" t="s">
        <v>1465</v>
      </c>
      <c r="BM46" t="s">
        <v>1465</v>
      </c>
      <c r="BN46" t="s">
        <v>1465</v>
      </c>
      <c r="BO46" t="s">
        <v>1465</v>
      </c>
    </row>
    <row r="47" spans="1:67" x14ac:dyDescent="0.3">
      <c r="A47" t="s">
        <v>1064</v>
      </c>
      <c r="B47" t="s">
        <v>1065</v>
      </c>
      <c r="C47" t="s">
        <v>1465</v>
      </c>
      <c r="D47" t="s">
        <v>1465</v>
      </c>
      <c r="E47" t="s">
        <v>1066</v>
      </c>
      <c r="F47" t="s">
        <v>208</v>
      </c>
      <c r="G47" t="s">
        <v>442</v>
      </c>
      <c r="H47" t="s">
        <v>1465</v>
      </c>
      <c r="I47" t="s">
        <v>677</v>
      </c>
      <c r="J47" t="s">
        <v>467</v>
      </c>
      <c r="K47" t="s">
        <v>1550</v>
      </c>
      <c r="L47" t="s">
        <v>404</v>
      </c>
      <c r="M47" t="s">
        <v>35</v>
      </c>
      <c r="N47" t="s">
        <v>1049</v>
      </c>
      <c r="O47" t="s">
        <v>1067</v>
      </c>
      <c r="P47" t="s">
        <v>1465</v>
      </c>
      <c r="Q47" t="s">
        <v>1465</v>
      </c>
      <c r="R47" t="s">
        <v>1465</v>
      </c>
      <c r="S47" t="s">
        <v>1465</v>
      </c>
      <c r="T47" t="s">
        <v>1465</v>
      </c>
      <c r="U47" t="s">
        <v>1465</v>
      </c>
      <c r="V47" t="s">
        <v>1465</v>
      </c>
      <c r="W47" t="s">
        <v>1465</v>
      </c>
      <c r="X47" t="s">
        <v>1465</v>
      </c>
      <c r="Y47" t="s">
        <v>1465</v>
      </c>
      <c r="Z47" t="s">
        <v>1465</v>
      </c>
      <c r="AA47" t="s">
        <v>1068</v>
      </c>
      <c r="AB47" t="s">
        <v>1069</v>
      </c>
      <c r="AC47" t="s">
        <v>37</v>
      </c>
      <c r="AD47" t="s">
        <v>1465</v>
      </c>
      <c r="AE47" t="s">
        <v>107</v>
      </c>
      <c r="AF47" t="s">
        <v>1465</v>
      </c>
      <c r="AG47" t="s">
        <v>1465</v>
      </c>
      <c r="AH47" t="s">
        <v>76</v>
      </c>
      <c r="AI47" t="s">
        <v>427</v>
      </c>
      <c r="AJ47" t="s">
        <v>1465</v>
      </c>
      <c r="AK47" t="s">
        <v>1465</v>
      </c>
      <c r="AL47" t="s">
        <v>1465</v>
      </c>
      <c r="AM47" t="s">
        <v>1465</v>
      </c>
      <c r="AN47" t="s">
        <v>1465</v>
      </c>
      <c r="AO47" t="s">
        <v>1465</v>
      </c>
      <c r="AP47" t="s">
        <v>1070</v>
      </c>
      <c r="AQ47" t="s">
        <v>1071</v>
      </c>
      <c r="AR47" t="s">
        <v>1072</v>
      </c>
      <c r="AS47" t="s">
        <v>1073</v>
      </c>
      <c r="AT47" t="s">
        <v>1465</v>
      </c>
      <c r="AU47" t="s">
        <v>692</v>
      </c>
      <c r="AV47" t="s">
        <v>1465</v>
      </c>
      <c r="AW47" t="s">
        <v>1465</v>
      </c>
      <c r="AX47" t="s">
        <v>1465</v>
      </c>
      <c r="AY47" t="s">
        <v>1465</v>
      </c>
      <c r="AZ47" t="s">
        <v>1465</v>
      </c>
      <c r="BA47" t="s">
        <v>1074</v>
      </c>
      <c r="BB47" t="s">
        <v>1075</v>
      </c>
      <c r="BC47" t="s">
        <v>1465</v>
      </c>
      <c r="BD47" t="s">
        <v>1465</v>
      </c>
      <c r="BE47" t="s">
        <v>1465</v>
      </c>
      <c r="BF47" t="s">
        <v>1465</v>
      </c>
      <c r="BG47" t="s">
        <v>1465</v>
      </c>
      <c r="BH47" t="s">
        <v>1465</v>
      </c>
      <c r="BI47" t="s">
        <v>1070</v>
      </c>
      <c r="BJ47" t="s">
        <v>1076</v>
      </c>
      <c r="BK47" t="s">
        <v>462</v>
      </c>
      <c r="BL47" t="s">
        <v>1465</v>
      </c>
      <c r="BM47" t="s">
        <v>1465</v>
      </c>
      <c r="BN47" t="s">
        <v>1465</v>
      </c>
      <c r="BO47" t="s">
        <v>1465</v>
      </c>
    </row>
    <row r="48" spans="1:67" x14ac:dyDescent="0.3">
      <c r="A48" t="s">
        <v>1077</v>
      </c>
      <c r="B48" t="s">
        <v>1078</v>
      </c>
      <c r="C48" t="s">
        <v>248</v>
      </c>
      <c r="D48" t="s">
        <v>248</v>
      </c>
      <c r="E48" t="s">
        <v>1079</v>
      </c>
      <c r="F48" t="s">
        <v>208</v>
      </c>
      <c r="G48" t="s">
        <v>755</v>
      </c>
      <c r="H48" t="s">
        <v>1080</v>
      </c>
      <c r="I48" t="s">
        <v>778</v>
      </c>
      <c r="J48" t="s">
        <v>633</v>
      </c>
      <c r="K48" t="s">
        <v>1550</v>
      </c>
      <c r="L48" t="s">
        <v>404</v>
      </c>
      <c r="M48" t="s">
        <v>35</v>
      </c>
      <c r="N48" t="s">
        <v>1465</v>
      </c>
      <c r="O48" t="s">
        <v>1465</v>
      </c>
      <c r="P48" t="s">
        <v>1465</v>
      </c>
      <c r="Q48" t="s">
        <v>1465</v>
      </c>
      <c r="R48" t="s">
        <v>1465</v>
      </c>
      <c r="S48" t="s">
        <v>1081</v>
      </c>
      <c r="T48" t="s">
        <v>1465</v>
      </c>
      <c r="U48" t="s">
        <v>248</v>
      </c>
      <c r="V48" t="s">
        <v>1081</v>
      </c>
      <c r="W48" t="s">
        <v>1465</v>
      </c>
      <c r="X48" t="s">
        <v>1465</v>
      </c>
      <c r="Y48" t="s">
        <v>1465</v>
      </c>
      <c r="Z48" t="s">
        <v>1465</v>
      </c>
      <c r="AA48" t="s">
        <v>1465</v>
      </c>
      <c r="AB48" t="s">
        <v>1465</v>
      </c>
      <c r="AC48" t="s">
        <v>76</v>
      </c>
      <c r="AD48" t="s">
        <v>76</v>
      </c>
      <c r="AE48" t="s">
        <v>76</v>
      </c>
      <c r="AF48" t="s">
        <v>1465</v>
      </c>
      <c r="AG48" t="s">
        <v>1465</v>
      </c>
      <c r="AH48" t="s">
        <v>76</v>
      </c>
      <c r="AI48" t="s">
        <v>427</v>
      </c>
      <c r="AJ48" t="s">
        <v>1465</v>
      </c>
      <c r="AK48" t="s">
        <v>1465</v>
      </c>
      <c r="AL48" t="s">
        <v>1465</v>
      </c>
      <c r="AM48" t="s">
        <v>1465</v>
      </c>
      <c r="AN48" t="s">
        <v>1465</v>
      </c>
      <c r="AO48" t="s">
        <v>1465</v>
      </c>
      <c r="AP48" t="s">
        <v>1465</v>
      </c>
      <c r="AQ48" t="s">
        <v>1465</v>
      </c>
      <c r="AR48" t="s">
        <v>1465</v>
      </c>
      <c r="AS48" t="s">
        <v>1465</v>
      </c>
      <c r="AT48" t="s">
        <v>1465</v>
      </c>
      <c r="AU48" t="s">
        <v>788</v>
      </c>
      <c r="AV48" t="s">
        <v>1465</v>
      </c>
      <c r="AW48" t="s">
        <v>1465</v>
      </c>
      <c r="AX48" t="s">
        <v>1465</v>
      </c>
      <c r="AY48" t="s">
        <v>1465</v>
      </c>
      <c r="AZ48" t="s">
        <v>1465</v>
      </c>
      <c r="BA48" t="s">
        <v>1465</v>
      </c>
      <c r="BB48" t="s">
        <v>1465</v>
      </c>
      <c r="BC48" t="s">
        <v>1465</v>
      </c>
      <c r="BD48" t="s">
        <v>1465</v>
      </c>
      <c r="BE48" t="s">
        <v>1465</v>
      </c>
      <c r="BF48" t="s">
        <v>1465</v>
      </c>
      <c r="BG48" t="s">
        <v>1465</v>
      </c>
      <c r="BH48" t="s">
        <v>1465</v>
      </c>
      <c r="BI48" t="s">
        <v>1465</v>
      </c>
      <c r="BJ48" t="s">
        <v>1465</v>
      </c>
      <c r="BK48" t="s">
        <v>462</v>
      </c>
      <c r="BL48" t="s">
        <v>1465</v>
      </c>
      <c r="BM48" t="s">
        <v>1465</v>
      </c>
      <c r="BN48" t="s">
        <v>1465</v>
      </c>
      <c r="BO48" t="s">
        <v>1465</v>
      </c>
    </row>
    <row r="49" spans="1:67" x14ac:dyDescent="0.3">
      <c r="A49" t="s">
        <v>1082</v>
      </c>
      <c r="B49" t="s">
        <v>1083</v>
      </c>
      <c r="C49" t="s">
        <v>1465</v>
      </c>
      <c r="D49" t="s">
        <v>1465</v>
      </c>
      <c r="E49" t="s">
        <v>1084</v>
      </c>
      <c r="F49" t="s">
        <v>100</v>
      </c>
      <c r="G49" t="s">
        <v>442</v>
      </c>
      <c r="H49" t="s">
        <v>1085</v>
      </c>
      <c r="I49" t="s">
        <v>1324</v>
      </c>
      <c r="J49" t="s">
        <v>377</v>
      </c>
      <c r="K49" t="s">
        <v>532</v>
      </c>
      <c r="L49" t="s">
        <v>533</v>
      </c>
      <c r="M49" t="s">
        <v>25</v>
      </c>
      <c r="N49" t="s">
        <v>535</v>
      </c>
      <c r="O49" t="s">
        <v>1086</v>
      </c>
      <c r="P49" t="s">
        <v>1465</v>
      </c>
      <c r="Q49" t="s">
        <v>1465</v>
      </c>
      <c r="R49" t="s">
        <v>1465</v>
      </c>
      <c r="S49" t="s">
        <v>1465</v>
      </c>
      <c r="T49" t="s">
        <v>1465</v>
      </c>
      <c r="U49" t="s">
        <v>1465</v>
      </c>
      <c r="V49" t="s">
        <v>1465</v>
      </c>
      <c r="W49" t="s">
        <v>1465</v>
      </c>
      <c r="X49" t="s">
        <v>1465</v>
      </c>
      <c r="Y49" t="s">
        <v>1465</v>
      </c>
      <c r="Z49" t="s">
        <v>1465</v>
      </c>
      <c r="AA49" t="s">
        <v>1465</v>
      </c>
      <c r="AB49" t="s">
        <v>1465</v>
      </c>
      <c r="AC49" t="s">
        <v>1465</v>
      </c>
      <c r="AD49" t="s">
        <v>1465</v>
      </c>
      <c r="AE49" t="s">
        <v>80</v>
      </c>
      <c r="AF49" t="s">
        <v>1465</v>
      </c>
      <c r="AG49" t="s">
        <v>1465</v>
      </c>
      <c r="AH49" t="s">
        <v>76</v>
      </c>
      <c r="AI49" t="s">
        <v>427</v>
      </c>
      <c r="AJ49" t="s">
        <v>1465</v>
      </c>
      <c r="AK49" t="s">
        <v>1465</v>
      </c>
      <c r="AL49" t="s">
        <v>1465</v>
      </c>
      <c r="AM49" t="s">
        <v>1465</v>
      </c>
      <c r="AN49" t="s">
        <v>1465</v>
      </c>
      <c r="AO49" t="s">
        <v>1465</v>
      </c>
      <c r="AP49" t="s">
        <v>1087</v>
      </c>
      <c r="AQ49" t="s">
        <v>1088</v>
      </c>
      <c r="AR49" t="s">
        <v>1089</v>
      </c>
      <c r="AS49" t="s">
        <v>1090</v>
      </c>
      <c r="AT49" t="s">
        <v>1091</v>
      </c>
      <c r="AU49" t="s">
        <v>1527</v>
      </c>
      <c r="AV49" t="s">
        <v>1465</v>
      </c>
      <c r="AW49" t="s">
        <v>1465</v>
      </c>
      <c r="AX49" t="s">
        <v>1465</v>
      </c>
      <c r="AY49" t="s">
        <v>1465</v>
      </c>
      <c r="AZ49" t="s">
        <v>1465</v>
      </c>
      <c r="BA49" t="s">
        <v>1465</v>
      </c>
      <c r="BB49" t="s">
        <v>1465</v>
      </c>
      <c r="BC49" t="s">
        <v>1465</v>
      </c>
      <c r="BD49" t="s">
        <v>1465</v>
      </c>
      <c r="BE49" t="s">
        <v>1465</v>
      </c>
      <c r="BF49" t="s">
        <v>1465</v>
      </c>
      <c r="BG49" t="s">
        <v>1465</v>
      </c>
      <c r="BH49" t="s">
        <v>1465</v>
      </c>
      <c r="BI49" t="s">
        <v>1465</v>
      </c>
      <c r="BJ49" t="s">
        <v>1465</v>
      </c>
      <c r="BK49" t="s">
        <v>1465</v>
      </c>
      <c r="BL49" t="s">
        <v>1465</v>
      </c>
      <c r="BM49" t="s">
        <v>1465</v>
      </c>
      <c r="BN49" t="s">
        <v>1465</v>
      </c>
      <c r="BO49" t="s">
        <v>1465</v>
      </c>
    </row>
    <row r="50" spans="1:67" x14ac:dyDescent="0.3">
      <c r="A50" t="s">
        <v>1092</v>
      </c>
      <c r="B50" t="s">
        <v>1093</v>
      </c>
      <c r="C50" t="s">
        <v>1465</v>
      </c>
      <c r="D50" t="s">
        <v>1465</v>
      </c>
      <c r="E50" t="s">
        <v>1094</v>
      </c>
      <c r="F50" t="s">
        <v>100</v>
      </c>
      <c r="G50" t="s">
        <v>442</v>
      </c>
      <c r="H50" t="s">
        <v>1085</v>
      </c>
      <c r="I50" t="s">
        <v>1268</v>
      </c>
      <c r="J50" t="s">
        <v>633</v>
      </c>
      <c r="K50" t="s">
        <v>532</v>
      </c>
      <c r="L50" t="s">
        <v>533</v>
      </c>
      <c r="M50" t="s">
        <v>181</v>
      </c>
      <c r="N50" t="s">
        <v>1049</v>
      </c>
      <c r="O50" t="s">
        <v>1095</v>
      </c>
      <c r="P50" t="s">
        <v>1465</v>
      </c>
      <c r="Q50" t="s">
        <v>1465</v>
      </c>
      <c r="R50" t="s">
        <v>1465</v>
      </c>
      <c r="S50" t="s">
        <v>1465</v>
      </c>
      <c r="T50" t="s">
        <v>1465</v>
      </c>
      <c r="U50" t="s">
        <v>1465</v>
      </c>
      <c r="V50" t="s">
        <v>1465</v>
      </c>
      <c r="W50" t="s">
        <v>1465</v>
      </c>
      <c r="X50" t="s">
        <v>1465</v>
      </c>
      <c r="Y50" t="s">
        <v>1465</v>
      </c>
      <c r="Z50" t="s">
        <v>1465</v>
      </c>
      <c r="AA50" t="s">
        <v>1465</v>
      </c>
      <c r="AB50" t="s">
        <v>1465</v>
      </c>
      <c r="AC50" t="s">
        <v>1465</v>
      </c>
      <c r="AD50" t="s">
        <v>1465</v>
      </c>
      <c r="AE50" t="s">
        <v>112</v>
      </c>
      <c r="AF50" t="s">
        <v>1465</v>
      </c>
      <c r="AG50" t="s">
        <v>1465</v>
      </c>
      <c r="AH50" t="s">
        <v>76</v>
      </c>
      <c r="AI50" t="s">
        <v>427</v>
      </c>
      <c r="AJ50" t="s">
        <v>1465</v>
      </c>
      <c r="AK50" t="s">
        <v>1465</v>
      </c>
      <c r="AL50" t="s">
        <v>1465</v>
      </c>
      <c r="AM50" t="s">
        <v>1465</v>
      </c>
      <c r="AN50" t="s">
        <v>1465</v>
      </c>
      <c r="AO50" t="s">
        <v>1465</v>
      </c>
      <c r="AP50" t="s">
        <v>1096</v>
      </c>
      <c r="AQ50" t="s">
        <v>1097</v>
      </c>
      <c r="AR50" t="s">
        <v>1098</v>
      </c>
      <c r="AS50" t="s">
        <v>1099</v>
      </c>
      <c r="AT50" t="s">
        <v>1100</v>
      </c>
      <c r="AU50" t="s">
        <v>1487</v>
      </c>
      <c r="AV50" t="s">
        <v>1465</v>
      </c>
      <c r="AW50" t="s">
        <v>1465</v>
      </c>
      <c r="AX50" t="s">
        <v>1465</v>
      </c>
      <c r="AY50" t="s">
        <v>1465</v>
      </c>
      <c r="AZ50" t="s">
        <v>1465</v>
      </c>
      <c r="BA50" t="s">
        <v>1465</v>
      </c>
      <c r="BB50" t="s">
        <v>1465</v>
      </c>
      <c r="BC50" t="s">
        <v>1465</v>
      </c>
      <c r="BD50" t="s">
        <v>1465</v>
      </c>
      <c r="BE50" t="s">
        <v>1465</v>
      </c>
      <c r="BF50" t="s">
        <v>1465</v>
      </c>
      <c r="BG50" t="s">
        <v>1465</v>
      </c>
      <c r="BH50" t="s">
        <v>1465</v>
      </c>
      <c r="BI50" t="s">
        <v>1465</v>
      </c>
      <c r="BJ50" t="s">
        <v>1465</v>
      </c>
      <c r="BK50" t="s">
        <v>1465</v>
      </c>
      <c r="BL50" t="s">
        <v>1465</v>
      </c>
      <c r="BM50" t="s">
        <v>1465</v>
      </c>
      <c r="BN50" t="s">
        <v>1465</v>
      </c>
      <c r="BO50" t="s">
        <v>1465</v>
      </c>
    </row>
    <row r="51" spans="1:67" x14ac:dyDescent="0.3">
      <c r="A51" t="s">
        <v>1101</v>
      </c>
      <c r="B51" t="s">
        <v>179</v>
      </c>
      <c r="C51" t="s">
        <v>1465</v>
      </c>
      <c r="D51" t="s">
        <v>1465</v>
      </c>
      <c r="E51" t="s">
        <v>180</v>
      </c>
      <c r="F51" t="s">
        <v>34</v>
      </c>
      <c r="G51" t="s">
        <v>403</v>
      </c>
      <c r="H51" t="s">
        <v>1102</v>
      </c>
      <c r="I51" t="s">
        <v>466</v>
      </c>
      <c r="J51" t="s">
        <v>467</v>
      </c>
      <c r="K51" t="s">
        <v>532</v>
      </c>
      <c r="L51" t="s">
        <v>533</v>
      </c>
      <c r="M51" t="s">
        <v>181</v>
      </c>
      <c r="N51" t="s">
        <v>1049</v>
      </c>
      <c r="O51" t="s">
        <v>1103</v>
      </c>
      <c r="P51" t="s">
        <v>679</v>
      </c>
      <c r="Q51" t="s">
        <v>420</v>
      </c>
      <c r="R51" t="s">
        <v>1465</v>
      </c>
      <c r="S51" t="s">
        <v>738</v>
      </c>
      <c r="T51" t="s">
        <v>248</v>
      </c>
      <c r="U51" t="s">
        <v>1104</v>
      </c>
      <c r="V51" t="s">
        <v>1528</v>
      </c>
      <c r="W51" t="s">
        <v>1529</v>
      </c>
      <c r="X51" t="s">
        <v>1528</v>
      </c>
      <c r="Y51" t="s">
        <v>1529</v>
      </c>
      <c r="Z51" t="s">
        <v>424</v>
      </c>
      <c r="AA51" t="s">
        <v>1105</v>
      </c>
      <c r="AB51" t="s">
        <v>1106</v>
      </c>
      <c r="AC51" t="s">
        <v>76</v>
      </c>
      <c r="AD51" t="s">
        <v>76</v>
      </c>
      <c r="AE51" t="s">
        <v>182</v>
      </c>
      <c r="AF51" t="s">
        <v>182</v>
      </c>
      <c r="AG51" t="s">
        <v>80</v>
      </c>
      <c r="AH51" t="s">
        <v>51</v>
      </c>
      <c r="AI51" t="s">
        <v>1558</v>
      </c>
      <c r="AJ51" t="s">
        <v>390</v>
      </c>
      <c r="AK51" t="s">
        <v>91</v>
      </c>
      <c r="AL51" t="s">
        <v>73</v>
      </c>
      <c r="AM51" t="s">
        <v>1465</v>
      </c>
      <c r="AN51" t="s">
        <v>1465</v>
      </c>
      <c r="AO51" t="s">
        <v>1465</v>
      </c>
      <c r="AP51" t="s">
        <v>1107</v>
      </c>
      <c r="AQ51" t="s">
        <v>1108</v>
      </c>
      <c r="AR51" t="s">
        <v>1109</v>
      </c>
      <c r="AS51" t="s">
        <v>1110</v>
      </c>
      <c r="AT51" t="s">
        <v>1111</v>
      </c>
      <c r="AU51" t="s">
        <v>479</v>
      </c>
      <c r="AV51" t="s">
        <v>1465</v>
      </c>
      <c r="AW51" t="s">
        <v>1465</v>
      </c>
      <c r="AX51" t="s">
        <v>1465</v>
      </c>
      <c r="AY51" t="s">
        <v>1465</v>
      </c>
      <c r="AZ51" t="s">
        <v>1465</v>
      </c>
      <c r="BA51" t="s">
        <v>480</v>
      </c>
      <c r="BB51" t="s">
        <v>1112</v>
      </c>
      <c r="BC51" t="s">
        <v>1465</v>
      </c>
      <c r="BD51" t="s">
        <v>1465</v>
      </c>
      <c r="BE51" t="s">
        <v>1465</v>
      </c>
      <c r="BF51" t="s">
        <v>1465</v>
      </c>
      <c r="BG51" t="s">
        <v>1465</v>
      </c>
      <c r="BH51" t="s">
        <v>1465</v>
      </c>
      <c r="BI51" t="s">
        <v>1113</v>
      </c>
      <c r="BJ51" t="s">
        <v>1114</v>
      </c>
      <c r="BK51" t="s">
        <v>402</v>
      </c>
      <c r="BL51" t="s">
        <v>1465</v>
      </c>
      <c r="BM51" t="s">
        <v>1465</v>
      </c>
      <c r="BN51" t="s">
        <v>1465</v>
      </c>
      <c r="BO51" t="s">
        <v>1465</v>
      </c>
    </row>
    <row r="52" spans="1:67" x14ac:dyDescent="0.3">
      <c r="A52" t="s">
        <v>1115</v>
      </c>
      <c r="B52" t="s">
        <v>1116</v>
      </c>
      <c r="C52" t="s">
        <v>1465</v>
      </c>
      <c r="D52" t="s">
        <v>1465</v>
      </c>
      <c r="E52" t="s">
        <v>1117</v>
      </c>
      <c r="F52" t="s">
        <v>105</v>
      </c>
      <c r="G52" t="s">
        <v>442</v>
      </c>
      <c r="H52" t="s">
        <v>1085</v>
      </c>
      <c r="I52" t="s">
        <v>834</v>
      </c>
      <c r="J52" t="s">
        <v>377</v>
      </c>
      <c r="K52" t="s">
        <v>378</v>
      </c>
      <c r="L52" t="s">
        <v>533</v>
      </c>
      <c r="M52" t="s">
        <v>181</v>
      </c>
      <c r="N52" t="s">
        <v>505</v>
      </c>
      <c r="O52" t="s">
        <v>1118</v>
      </c>
      <c r="P52" t="s">
        <v>1465</v>
      </c>
      <c r="Q52" t="s">
        <v>1465</v>
      </c>
      <c r="R52" t="s">
        <v>1465</v>
      </c>
      <c r="S52" t="s">
        <v>1465</v>
      </c>
      <c r="T52" t="s">
        <v>1465</v>
      </c>
      <c r="U52" t="s">
        <v>1465</v>
      </c>
      <c r="V52" t="s">
        <v>1465</v>
      </c>
      <c r="W52" t="s">
        <v>1465</v>
      </c>
      <c r="X52" t="s">
        <v>1465</v>
      </c>
      <c r="Y52" t="s">
        <v>1465</v>
      </c>
      <c r="Z52" t="s">
        <v>1465</v>
      </c>
      <c r="AA52" t="s">
        <v>1465</v>
      </c>
      <c r="AB52" t="s">
        <v>1465</v>
      </c>
      <c r="AC52" t="s">
        <v>1465</v>
      </c>
      <c r="AD52" t="s">
        <v>1465</v>
      </c>
      <c r="AE52" t="s">
        <v>112</v>
      </c>
      <c r="AF52" t="s">
        <v>1465</v>
      </c>
      <c r="AG52" t="s">
        <v>1465</v>
      </c>
      <c r="AH52" t="s">
        <v>76</v>
      </c>
      <c r="AI52" t="s">
        <v>427</v>
      </c>
      <c r="AJ52" t="s">
        <v>1465</v>
      </c>
      <c r="AK52" t="s">
        <v>1465</v>
      </c>
      <c r="AL52" t="s">
        <v>1465</v>
      </c>
      <c r="AM52" t="s">
        <v>1465</v>
      </c>
      <c r="AN52" t="s">
        <v>1465</v>
      </c>
      <c r="AO52" t="s">
        <v>1465</v>
      </c>
      <c r="AP52" t="s">
        <v>1119</v>
      </c>
      <c r="AQ52" t="s">
        <v>1120</v>
      </c>
      <c r="AR52" t="s">
        <v>1121</v>
      </c>
      <c r="AS52" t="s">
        <v>1122</v>
      </c>
      <c r="AT52" t="s">
        <v>1123</v>
      </c>
      <c r="AU52" t="s">
        <v>846</v>
      </c>
      <c r="AV52" t="s">
        <v>1465</v>
      </c>
      <c r="AW52" t="s">
        <v>1465</v>
      </c>
      <c r="AX52" t="s">
        <v>1465</v>
      </c>
      <c r="AY52" t="s">
        <v>1465</v>
      </c>
      <c r="AZ52" t="s">
        <v>1465</v>
      </c>
      <c r="BA52" t="s">
        <v>1465</v>
      </c>
      <c r="BB52" t="s">
        <v>1465</v>
      </c>
      <c r="BC52" t="s">
        <v>1465</v>
      </c>
      <c r="BD52" t="s">
        <v>1465</v>
      </c>
      <c r="BE52" t="s">
        <v>1465</v>
      </c>
      <c r="BF52" t="s">
        <v>1465</v>
      </c>
      <c r="BG52" t="s">
        <v>1465</v>
      </c>
      <c r="BH52" t="s">
        <v>1465</v>
      </c>
      <c r="BI52" t="s">
        <v>1465</v>
      </c>
      <c r="BJ52" t="s">
        <v>1465</v>
      </c>
      <c r="BK52" t="s">
        <v>1465</v>
      </c>
      <c r="BL52" t="s">
        <v>1465</v>
      </c>
      <c r="BM52" t="s">
        <v>1465</v>
      </c>
      <c r="BN52" t="s">
        <v>1465</v>
      </c>
      <c r="BO52" t="s">
        <v>1465</v>
      </c>
    </row>
    <row r="53" spans="1:67" x14ac:dyDescent="0.3">
      <c r="A53" t="s">
        <v>1124</v>
      </c>
      <c r="B53" t="s">
        <v>1125</v>
      </c>
      <c r="C53" t="s">
        <v>1465</v>
      </c>
      <c r="D53" t="s">
        <v>1465</v>
      </c>
      <c r="E53" t="s">
        <v>1126</v>
      </c>
      <c r="F53" t="s">
        <v>160</v>
      </c>
      <c r="G53" t="s">
        <v>1526</v>
      </c>
      <c r="H53" t="s">
        <v>1127</v>
      </c>
      <c r="I53" t="s">
        <v>778</v>
      </c>
      <c r="J53" t="s">
        <v>633</v>
      </c>
      <c r="K53" t="s">
        <v>1550</v>
      </c>
      <c r="L53" t="s">
        <v>404</v>
      </c>
      <c r="M53" t="s">
        <v>35</v>
      </c>
      <c r="N53" t="s">
        <v>697</v>
      </c>
      <c r="O53" t="s">
        <v>1128</v>
      </c>
      <c r="P53" t="s">
        <v>1465</v>
      </c>
      <c r="Q53" t="s">
        <v>1465</v>
      </c>
      <c r="R53" t="s">
        <v>1465</v>
      </c>
      <c r="S53" t="s">
        <v>1129</v>
      </c>
      <c r="T53" t="s">
        <v>1465</v>
      </c>
      <c r="U53" t="s">
        <v>248</v>
      </c>
      <c r="V53" t="s">
        <v>1130</v>
      </c>
      <c r="W53" t="s">
        <v>1465</v>
      </c>
      <c r="X53" t="s">
        <v>1465</v>
      </c>
      <c r="Y53" t="s">
        <v>1465</v>
      </c>
      <c r="Z53" t="s">
        <v>448</v>
      </c>
      <c r="AA53" t="s">
        <v>1131</v>
      </c>
      <c r="AB53" t="s">
        <v>1132</v>
      </c>
      <c r="AC53" t="s">
        <v>76</v>
      </c>
      <c r="AD53" t="s">
        <v>76</v>
      </c>
      <c r="AE53" t="s">
        <v>1133</v>
      </c>
      <c r="AF53" t="s">
        <v>1465</v>
      </c>
      <c r="AG53" t="s">
        <v>1465</v>
      </c>
      <c r="AH53" t="s">
        <v>76</v>
      </c>
      <c r="AI53" t="s">
        <v>427</v>
      </c>
      <c r="AJ53" t="s">
        <v>1470</v>
      </c>
      <c r="AK53" t="s">
        <v>1465</v>
      </c>
      <c r="AL53" t="s">
        <v>1465</v>
      </c>
      <c r="AM53" t="s">
        <v>1465</v>
      </c>
      <c r="AN53" t="s">
        <v>1465</v>
      </c>
      <c r="AO53" t="s">
        <v>1465</v>
      </c>
      <c r="AP53" t="s">
        <v>1135</v>
      </c>
      <c r="AQ53" t="s">
        <v>1136</v>
      </c>
      <c r="AR53" t="s">
        <v>1137</v>
      </c>
      <c r="AS53" t="s">
        <v>1138</v>
      </c>
      <c r="AT53" t="s">
        <v>1139</v>
      </c>
      <c r="AU53" t="s">
        <v>788</v>
      </c>
      <c r="AV53" t="s">
        <v>1465</v>
      </c>
      <c r="AW53" t="s">
        <v>1465</v>
      </c>
      <c r="AX53" t="s">
        <v>1465</v>
      </c>
      <c r="AY53" t="s">
        <v>1465</v>
      </c>
      <c r="AZ53" t="s">
        <v>1465</v>
      </c>
      <c r="BA53" t="s">
        <v>789</v>
      </c>
      <c r="BB53" t="s">
        <v>1140</v>
      </c>
      <c r="BC53" t="s">
        <v>1465</v>
      </c>
      <c r="BD53" t="s">
        <v>1465</v>
      </c>
      <c r="BE53" t="s">
        <v>1465</v>
      </c>
      <c r="BF53" t="s">
        <v>1465</v>
      </c>
      <c r="BG53" t="s">
        <v>1465</v>
      </c>
      <c r="BH53" t="s">
        <v>1465</v>
      </c>
      <c r="BI53" t="s">
        <v>1141</v>
      </c>
      <c r="BJ53" t="s">
        <v>1142</v>
      </c>
      <c r="BK53" t="s">
        <v>462</v>
      </c>
      <c r="BL53" t="s">
        <v>1465</v>
      </c>
      <c r="BM53" t="s">
        <v>1465</v>
      </c>
      <c r="BN53" t="s">
        <v>1465</v>
      </c>
      <c r="BO53" t="s">
        <v>1465</v>
      </c>
    </row>
    <row r="54" spans="1:67" x14ac:dyDescent="0.3">
      <c r="A54" t="s">
        <v>1143</v>
      </c>
      <c r="B54" t="s">
        <v>187</v>
      </c>
      <c r="C54" t="s">
        <v>1465</v>
      </c>
      <c r="D54" t="s">
        <v>1465</v>
      </c>
      <c r="E54" t="s">
        <v>188</v>
      </c>
      <c r="F54" t="s">
        <v>34</v>
      </c>
      <c r="G54" t="s">
        <v>74</v>
      </c>
      <c r="H54" t="s">
        <v>1465</v>
      </c>
      <c r="I54" t="s">
        <v>677</v>
      </c>
      <c r="J54" t="s">
        <v>467</v>
      </c>
      <c r="K54" t="s">
        <v>532</v>
      </c>
      <c r="L54" t="s">
        <v>404</v>
      </c>
      <c r="M54" t="s">
        <v>35</v>
      </c>
      <c r="N54" t="s">
        <v>818</v>
      </c>
      <c r="O54" t="s">
        <v>1144</v>
      </c>
      <c r="P54" t="s">
        <v>698</v>
      </c>
      <c r="Q54" t="s">
        <v>1145</v>
      </c>
      <c r="R54" t="s">
        <v>1465</v>
      </c>
      <c r="S54" t="s">
        <v>738</v>
      </c>
      <c r="T54" t="s">
        <v>248</v>
      </c>
      <c r="U54" t="s">
        <v>248</v>
      </c>
      <c r="V54" t="s">
        <v>1146</v>
      </c>
      <c r="W54" t="s">
        <v>385</v>
      </c>
      <c r="X54" t="s">
        <v>1146</v>
      </c>
      <c r="Y54" t="s">
        <v>97</v>
      </c>
      <c r="Z54" t="s">
        <v>424</v>
      </c>
      <c r="AA54" t="s">
        <v>1147</v>
      </c>
      <c r="AB54" t="s">
        <v>1148</v>
      </c>
      <c r="AC54" t="s">
        <v>1465</v>
      </c>
      <c r="AD54" t="s">
        <v>1465</v>
      </c>
      <c r="AE54" t="s">
        <v>146</v>
      </c>
      <c r="AF54" t="s">
        <v>1465</v>
      </c>
      <c r="AG54" t="s">
        <v>1465</v>
      </c>
      <c r="AH54" t="s">
        <v>146</v>
      </c>
      <c r="AI54" t="s">
        <v>427</v>
      </c>
      <c r="AJ54" t="s">
        <v>390</v>
      </c>
      <c r="AK54" t="s">
        <v>92</v>
      </c>
      <c r="AL54" t="s">
        <v>189</v>
      </c>
      <c r="AM54" t="s">
        <v>1465</v>
      </c>
      <c r="AN54" t="s">
        <v>1465</v>
      </c>
      <c r="AO54" t="s">
        <v>1465</v>
      </c>
      <c r="AP54" t="s">
        <v>1149</v>
      </c>
      <c r="AQ54" t="s">
        <v>1150</v>
      </c>
      <c r="AR54" t="s">
        <v>1151</v>
      </c>
      <c r="AS54" t="s">
        <v>1152</v>
      </c>
      <c r="AT54" t="s">
        <v>1153</v>
      </c>
      <c r="AU54" t="s">
        <v>692</v>
      </c>
      <c r="AV54" t="s">
        <v>1465</v>
      </c>
      <c r="AW54" t="s">
        <v>1465</v>
      </c>
      <c r="AX54" t="s">
        <v>1465</v>
      </c>
      <c r="AY54" t="s">
        <v>1465</v>
      </c>
      <c r="AZ54" t="s">
        <v>1465</v>
      </c>
      <c r="BA54" t="s">
        <v>580</v>
      </c>
      <c r="BB54" t="s">
        <v>1154</v>
      </c>
      <c r="BC54" t="s">
        <v>1465</v>
      </c>
      <c r="BD54" t="s">
        <v>1465</v>
      </c>
      <c r="BE54" t="s">
        <v>1465</v>
      </c>
      <c r="BF54" t="s">
        <v>1465</v>
      </c>
      <c r="BG54" t="s">
        <v>1465</v>
      </c>
      <c r="BH54" t="s">
        <v>1465</v>
      </c>
      <c r="BI54" t="s">
        <v>1155</v>
      </c>
      <c r="BJ54" t="s">
        <v>1156</v>
      </c>
      <c r="BK54" t="s">
        <v>402</v>
      </c>
      <c r="BL54" t="s">
        <v>1465</v>
      </c>
      <c r="BM54" t="s">
        <v>1465</v>
      </c>
      <c r="BN54" t="s">
        <v>1465</v>
      </c>
      <c r="BO54" t="s">
        <v>1465</v>
      </c>
    </row>
    <row r="55" spans="1:67" x14ac:dyDescent="0.3">
      <c r="A55" t="s">
        <v>1157</v>
      </c>
      <c r="B55" t="s">
        <v>1158</v>
      </c>
      <c r="C55" t="s">
        <v>1465</v>
      </c>
      <c r="D55" t="s">
        <v>1465</v>
      </c>
      <c r="E55" t="s">
        <v>1159</v>
      </c>
      <c r="F55" t="s">
        <v>100</v>
      </c>
      <c r="G55" t="s">
        <v>442</v>
      </c>
      <c r="H55" t="s">
        <v>1160</v>
      </c>
      <c r="I55" t="s">
        <v>418</v>
      </c>
      <c r="J55" t="s">
        <v>377</v>
      </c>
      <c r="K55" t="s">
        <v>532</v>
      </c>
      <c r="L55" t="s">
        <v>404</v>
      </c>
      <c r="M55" t="s">
        <v>35</v>
      </c>
      <c r="N55" t="s">
        <v>818</v>
      </c>
      <c r="O55" t="s">
        <v>1161</v>
      </c>
      <c r="P55" t="s">
        <v>1465</v>
      </c>
      <c r="Q55" t="s">
        <v>1465</v>
      </c>
      <c r="R55" t="s">
        <v>1465</v>
      </c>
      <c r="S55" t="s">
        <v>1465</v>
      </c>
      <c r="T55" t="s">
        <v>1465</v>
      </c>
      <c r="U55" t="s">
        <v>248</v>
      </c>
      <c r="V55" t="s">
        <v>1465</v>
      </c>
      <c r="W55" t="s">
        <v>1465</v>
      </c>
      <c r="X55" t="s">
        <v>248</v>
      </c>
      <c r="Y55" t="s">
        <v>1465</v>
      </c>
      <c r="Z55" t="s">
        <v>1465</v>
      </c>
      <c r="AA55" t="s">
        <v>1162</v>
      </c>
      <c r="AB55" t="s">
        <v>1163</v>
      </c>
      <c r="AC55" t="s">
        <v>1465</v>
      </c>
      <c r="AD55" t="s">
        <v>1465</v>
      </c>
      <c r="AE55" t="s">
        <v>51</v>
      </c>
      <c r="AF55" t="s">
        <v>1465</v>
      </c>
      <c r="AG55" t="s">
        <v>1465</v>
      </c>
      <c r="AH55" t="s">
        <v>76</v>
      </c>
      <c r="AI55" t="s">
        <v>427</v>
      </c>
      <c r="AJ55" t="s">
        <v>1465</v>
      </c>
      <c r="AK55" t="s">
        <v>1465</v>
      </c>
      <c r="AL55" t="s">
        <v>1465</v>
      </c>
      <c r="AM55" t="s">
        <v>1465</v>
      </c>
      <c r="AN55" t="s">
        <v>1465</v>
      </c>
      <c r="AO55" t="s">
        <v>1465</v>
      </c>
      <c r="AP55" t="s">
        <v>1164</v>
      </c>
      <c r="AQ55" t="s">
        <v>1165</v>
      </c>
      <c r="AR55" t="s">
        <v>1166</v>
      </c>
      <c r="AS55" t="s">
        <v>1167</v>
      </c>
      <c r="AT55" t="s">
        <v>1168</v>
      </c>
      <c r="AU55" t="s">
        <v>1465</v>
      </c>
      <c r="AV55" t="s">
        <v>1465</v>
      </c>
      <c r="AW55" t="s">
        <v>1465</v>
      </c>
      <c r="AX55" t="s">
        <v>1465</v>
      </c>
      <c r="AY55" t="s">
        <v>1465</v>
      </c>
      <c r="AZ55" t="s">
        <v>1465</v>
      </c>
      <c r="BA55" t="s">
        <v>562</v>
      </c>
      <c r="BB55" t="s">
        <v>1169</v>
      </c>
      <c r="BC55" t="s">
        <v>1465</v>
      </c>
      <c r="BD55" t="s">
        <v>1465</v>
      </c>
      <c r="BE55" t="s">
        <v>1465</v>
      </c>
      <c r="BF55" t="s">
        <v>1465</v>
      </c>
      <c r="BG55" t="s">
        <v>1465</v>
      </c>
      <c r="BH55" t="s">
        <v>1465</v>
      </c>
      <c r="BI55" t="s">
        <v>1170</v>
      </c>
      <c r="BJ55" t="s">
        <v>1171</v>
      </c>
      <c r="BK55" t="s">
        <v>462</v>
      </c>
      <c r="BL55" t="s">
        <v>1465</v>
      </c>
      <c r="BM55" t="s">
        <v>1465</v>
      </c>
      <c r="BN55" t="s">
        <v>1465</v>
      </c>
      <c r="BO55" t="s">
        <v>1465</v>
      </c>
    </row>
    <row r="56" spans="1:67" x14ac:dyDescent="0.3">
      <c r="A56" t="s">
        <v>1172</v>
      </c>
      <c r="B56" t="s">
        <v>169</v>
      </c>
      <c r="C56" t="s">
        <v>1465</v>
      </c>
      <c r="D56" t="s">
        <v>1465</v>
      </c>
      <c r="E56" t="s">
        <v>170</v>
      </c>
      <c r="F56" t="s">
        <v>49</v>
      </c>
      <c r="G56" t="s">
        <v>403</v>
      </c>
      <c r="H56" t="s">
        <v>1173</v>
      </c>
      <c r="I56" t="s">
        <v>677</v>
      </c>
      <c r="J56" t="s">
        <v>467</v>
      </c>
      <c r="K56" t="s">
        <v>445</v>
      </c>
      <c r="L56" t="s">
        <v>404</v>
      </c>
      <c r="M56" t="s">
        <v>171</v>
      </c>
      <c r="N56" t="s">
        <v>679</v>
      </c>
      <c r="O56" t="s">
        <v>1174</v>
      </c>
      <c r="P56" t="s">
        <v>420</v>
      </c>
      <c r="Q56" t="s">
        <v>420</v>
      </c>
      <c r="R56" t="s">
        <v>1465</v>
      </c>
      <c r="S56" t="s">
        <v>1175</v>
      </c>
      <c r="T56" t="s">
        <v>385</v>
      </c>
      <c r="U56" t="s">
        <v>248</v>
      </c>
      <c r="V56" t="s">
        <v>1176</v>
      </c>
      <c r="W56" t="s">
        <v>385</v>
      </c>
      <c r="X56" t="s">
        <v>1177</v>
      </c>
      <c r="Y56" t="s">
        <v>73</v>
      </c>
      <c r="Z56" t="s">
        <v>424</v>
      </c>
      <c r="AA56" t="s">
        <v>1178</v>
      </c>
      <c r="AB56" t="s">
        <v>1179</v>
      </c>
      <c r="AC56" t="s">
        <v>76</v>
      </c>
      <c r="AD56" t="s">
        <v>76</v>
      </c>
      <c r="AE56" t="s">
        <v>168</v>
      </c>
      <c r="AF56" t="s">
        <v>168</v>
      </c>
      <c r="AG56" t="s">
        <v>80</v>
      </c>
      <c r="AH56" t="s">
        <v>88</v>
      </c>
      <c r="AI56" t="s">
        <v>1559</v>
      </c>
      <c r="AJ56" t="s">
        <v>1134</v>
      </c>
      <c r="AK56" t="s">
        <v>45</v>
      </c>
      <c r="AL56" t="s">
        <v>73</v>
      </c>
      <c r="AM56" t="s">
        <v>1465</v>
      </c>
      <c r="AN56" t="s">
        <v>1465</v>
      </c>
      <c r="AO56" t="s">
        <v>1465</v>
      </c>
      <c r="AP56" t="s">
        <v>1180</v>
      </c>
      <c r="AQ56" t="s">
        <v>1181</v>
      </c>
      <c r="AR56" t="s">
        <v>1182</v>
      </c>
      <c r="AS56" t="s">
        <v>1183</v>
      </c>
      <c r="AT56" t="s">
        <v>1184</v>
      </c>
      <c r="AU56" t="s">
        <v>692</v>
      </c>
      <c r="AV56" t="s">
        <v>1465</v>
      </c>
      <c r="AW56" t="s">
        <v>1465</v>
      </c>
      <c r="AX56" t="s">
        <v>1465</v>
      </c>
      <c r="AY56" t="s">
        <v>1465</v>
      </c>
      <c r="AZ56" t="s">
        <v>1465</v>
      </c>
      <c r="BA56" t="s">
        <v>1185</v>
      </c>
      <c r="BB56" t="s">
        <v>1186</v>
      </c>
      <c r="BC56" t="s">
        <v>1465</v>
      </c>
      <c r="BD56" t="s">
        <v>1465</v>
      </c>
      <c r="BE56" t="s">
        <v>1465</v>
      </c>
      <c r="BF56" t="s">
        <v>1465</v>
      </c>
      <c r="BG56" t="s">
        <v>1465</v>
      </c>
      <c r="BH56" t="s">
        <v>1465</v>
      </c>
      <c r="BI56" t="s">
        <v>1187</v>
      </c>
      <c r="BJ56" t="s">
        <v>1188</v>
      </c>
      <c r="BK56" t="s">
        <v>402</v>
      </c>
      <c r="BL56" t="s">
        <v>1465</v>
      </c>
      <c r="BM56" t="s">
        <v>1465</v>
      </c>
      <c r="BN56" t="s">
        <v>1465</v>
      </c>
      <c r="BO56" t="s">
        <v>1465</v>
      </c>
    </row>
    <row r="57" spans="1:67" x14ac:dyDescent="0.3">
      <c r="A57" t="s">
        <v>160</v>
      </c>
      <c r="B57" t="s">
        <v>1189</v>
      </c>
      <c r="C57" t="s">
        <v>1465</v>
      </c>
      <c r="D57" t="s">
        <v>1465</v>
      </c>
      <c r="E57" t="s">
        <v>1190</v>
      </c>
      <c r="F57" t="s">
        <v>160</v>
      </c>
      <c r="G57" t="s">
        <v>755</v>
      </c>
      <c r="H57" t="s">
        <v>1191</v>
      </c>
      <c r="I57" t="s">
        <v>632</v>
      </c>
      <c r="J57" t="s">
        <v>633</v>
      </c>
      <c r="K57" t="s">
        <v>1550</v>
      </c>
      <c r="L57" t="s">
        <v>404</v>
      </c>
      <c r="M57" t="s">
        <v>25</v>
      </c>
      <c r="N57" t="s">
        <v>698</v>
      </c>
      <c r="O57" t="s">
        <v>1192</v>
      </c>
      <c r="P57" t="s">
        <v>1465</v>
      </c>
      <c r="Q57" t="s">
        <v>1465</v>
      </c>
      <c r="R57" t="s">
        <v>1465</v>
      </c>
      <c r="S57" t="s">
        <v>1465</v>
      </c>
      <c r="T57" t="s">
        <v>1465</v>
      </c>
      <c r="U57" t="s">
        <v>248</v>
      </c>
      <c r="V57" t="s">
        <v>1465</v>
      </c>
      <c r="W57" t="s">
        <v>1465</v>
      </c>
      <c r="X57" t="s">
        <v>1465</v>
      </c>
      <c r="Y57" t="s">
        <v>1465</v>
      </c>
      <c r="Z57" t="s">
        <v>1465</v>
      </c>
      <c r="AA57" t="s">
        <v>1193</v>
      </c>
      <c r="AB57" t="s">
        <v>1194</v>
      </c>
      <c r="AC57" t="s">
        <v>1465</v>
      </c>
      <c r="AD57" t="s">
        <v>1465</v>
      </c>
      <c r="AE57" t="s">
        <v>65</v>
      </c>
      <c r="AF57" t="s">
        <v>1465</v>
      </c>
      <c r="AG57" t="s">
        <v>1465</v>
      </c>
      <c r="AH57" t="s">
        <v>76</v>
      </c>
      <c r="AI57" t="s">
        <v>427</v>
      </c>
      <c r="AJ57" t="s">
        <v>1465</v>
      </c>
      <c r="AK57" t="s">
        <v>1465</v>
      </c>
      <c r="AL57" t="s">
        <v>1465</v>
      </c>
      <c r="AM57" t="s">
        <v>1465</v>
      </c>
      <c r="AN57" t="s">
        <v>1465</v>
      </c>
      <c r="AO57" t="s">
        <v>1465</v>
      </c>
      <c r="AP57" t="s">
        <v>1195</v>
      </c>
      <c r="AQ57" t="s">
        <v>1196</v>
      </c>
      <c r="AR57" t="s">
        <v>1197</v>
      </c>
      <c r="AS57" t="s">
        <v>1198</v>
      </c>
      <c r="AT57" t="s">
        <v>1199</v>
      </c>
      <c r="AU57" t="s">
        <v>1465</v>
      </c>
      <c r="AV57" t="s">
        <v>1465</v>
      </c>
      <c r="AW57" t="s">
        <v>1465</v>
      </c>
      <c r="AX57" t="s">
        <v>1465</v>
      </c>
      <c r="AY57" t="s">
        <v>1465</v>
      </c>
      <c r="AZ57" t="s">
        <v>1465</v>
      </c>
      <c r="BA57" t="s">
        <v>646</v>
      </c>
      <c r="BB57" t="s">
        <v>1200</v>
      </c>
      <c r="BC57" t="s">
        <v>1465</v>
      </c>
      <c r="BD57" t="s">
        <v>1465</v>
      </c>
      <c r="BE57" t="s">
        <v>1465</v>
      </c>
      <c r="BF57" t="s">
        <v>1465</v>
      </c>
      <c r="BG57" t="s">
        <v>1465</v>
      </c>
      <c r="BH57" t="s">
        <v>1465</v>
      </c>
      <c r="BI57" t="s">
        <v>1201</v>
      </c>
      <c r="BJ57" t="s">
        <v>1202</v>
      </c>
      <c r="BK57" t="s">
        <v>462</v>
      </c>
      <c r="BL57" t="s">
        <v>1465</v>
      </c>
      <c r="BM57" t="s">
        <v>1465</v>
      </c>
      <c r="BN57" t="s">
        <v>1465</v>
      </c>
      <c r="BO57" t="s">
        <v>1465</v>
      </c>
    </row>
    <row r="58" spans="1:67" x14ac:dyDescent="0.3">
      <c r="A58" t="s">
        <v>1203</v>
      </c>
      <c r="B58" t="s">
        <v>190</v>
      </c>
      <c r="C58" t="s">
        <v>549</v>
      </c>
      <c r="D58" t="s">
        <v>549</v>
      </c>
      <c r="E58" t="s">
        <v>191</v>
      </c>
      <c r="F58" t="s">
        <v>145</v>
      </c>
      <c r="G58" t="s">
        <v>403</v>
      </c>
      <c r="H58" t="s">
        <v>1465</v>
      </c>
      <c r="I58" t="s">
        <v>975</v>
      </c>
      <c r="J58" t="s">
        <v>633</v>
      </c>
      <c r="K58" t="s">
        <v>882</v>
      </c>
      <c r="L58" t="s">
        <v>550</v>
      </c>
      <c r="M58" t="s">
        <v>35</v>
      </c>
      <c r="N58" t="s">
        <v>681</v>
      </c>
      <c r="O58" t="s">
        <v>1204</v>
      </c>
      <c r="P58" t="s">
        <v>915</v>
      </c>
      <c r="Q58" t="s">
        <v>915</v>
      </c>
      <c r="R58" t="s">
        <v>1465</v>
      </c>
      <c r="S58" t="s">
        <v>1205</v>
      </c>
      <c r="T58" t="s">
        <v>385</v>
      </c>
      <c r="U58" t="s">
        <v>1206</v>
      </c>
      <c r="V58" t="s">
        <v>1207</v>
      </c>
      <c r="W58" t="s">
        <v>385</v>
      </c>
      <c r="X58" t="s">
        <v>248</v>
      </c>
      <c r="Y58" t="s">
        <v>1465</v>
      </c>
      <c r="Z58" t="s">
        <v>1465</v>
      </c>
      <c r="AA58" t="s">
        <v>1208</v>
      </c>
      <c r="AB58" t="s">
        <v>1209</v>
      </c>
      <c r="AC58" t="s">
        <v>112</v>
      </c>
      <c r="AD58" t="s">
        <v>37</v>
      </c>
      <c r="AE58" t="s">
        <v>65</v>
      </c>
      <c r="AF58" t="s">
        <v>65</v>
      </c>
      <c r="AG58" t="s">
        <v>153</v>
      </c>
      <c r="AH58" t="s">
        <v>112</v>
      </c>
      <c r="AI58" t="s">
        <v>1514</v>
      </c>
      <c r="AJ58" t="s">
        <v>390</v>
      </c>
      <c r="AK58" t="s">
        <v>72</v>
      </c>
      <c r="AL58" t="s">
        <v>97</v>
      </c>
      <c r="AM58" t="s">
        <v>1465</v>
      </c>
      <c r="AN58" t="s">
        <v>1465</v>
      </c>
      <c r="AO58" t="s">
        <v>1465</v>
      </c>
      <c r="AP58" t="s">
        <v>1210</v>
      </c>
      <c r="AQ58" t="s">
        <v>1211</v>
      </c>
      <c r="AR58" t="s">
        <v>1212</v>
      </c>
      <c r="AS58" t="s">
        <v>1213</v>
      </c>
      <c r="AT58" t="s">
        <v>1214</v>
      </c>
      <c r="AU58" t="s">
        <v>987</v>
      </c>
      <c r="AV58" t="s">
        <v>1465</v>
      </c>
      <c r="AW58" t="s">
        <v>1215</v>
      </c>
      <c r="AX58" t="s">
        <v>1465</v>
      </c>
      <c r="AY58" t="s">
        <v>1465</v>
      </c>
      <c r="AZ58" t="s">
        <v>1465</v>
      </c>
      <c r="BA58" t="s">
        <v>988</v>
      </c>
      <c r="BB58" t="s">
        <v>1216</v>
      </c>
      <c r="BC58" t="s">
        <v>1465</v>
      </c>
      <c r="BD58" t="s">
        <v>1465</v>
      </c>
      <c r="BE58" t="s">
        <v>1465</v>
      </c>
      <c r="BF58" t="s">
        <v>1465</v>
      </c>
      <c r="BG58" t="s">
        <v>1465</v>
      </c>
      <c r="BH58" t="s">
        <v>1465</v>
      </c>
      <c r="BI58" t="s">
        <v>1217</v>
      </c>
      <c r="BJ58" t="s">
        <v>1218</v>
      </c>
      <c r="BK58" t="s">
        <v>402</v>
      </c>
      <c r="BL58" t="s">
        <v>1465</v>
      </c>
      <c r="BM58" t="s">
        <v>1465</v>
      </c>
      <c r="BN58" t="s">
        <v>1465</v>
      </c>
      <c r="BO58" t="s">
        <v>1465</v>
      </c>
    </row>
    <row r="59" spans="1:67" x14ac:dyDescent="0.3">
      <c r="A59" t="s">
        <v>1219</v>
      </c>
      <c r="B59" t="s">
        <v>1220</v>
      </c>
      <c r="C59" t="s">
        <v>1465</v>
      </c>
      <c r="D59" t="s">
        <v>1465</v>
      </c>
      <c r="E59" t="s">
        <v>1221</v>
      </c>
      <c r="F59" t="s">
        <v>34</v>
      </c>
      <c r="G59" t="s">
        <v>442</v>
      </c>
      <c r="H59" t="s">
        <v>1222</v>
      </c>
      <c r="I59" t="s">
        <v>566</v>
      </c>
      <c r="J59" t="s">
        <v>467</v>
      </c>
      <c r="K59" t="s">
        <v>1465</v>
      </c>
      <c r="L59" t="s">
        <v>404</v>
      </c>
      <c r="M59" t="s">
        <v>1465</v>
      </c>
      <c r="N59" t="s">
        <v>818</v>
      </c>
      <c r="O59" t="s">
        <v>1223</v>
      </c>
      <c r="P59" t="s">
        <v>698</v>
      </c>
      <c r="Q59" t="s">
        <v>420</v>
      </c>
      <c r="R59" t="s">
        <v>1465</v>
      </c>
      <c r="S59" t="s">
        <v>1224</v>
      </c>
      <c r="T59" t="s">
        <v>1465</v>
      </c>
      <c r="U59" t="s">
        <v>248</v>
      </c>
      <c r="V59" t="s">
        <v>1225</v>
      </c>
      <c r="W59" t="s">
        <v>1465</v>
      </c>
      <c r="X59" t="s">
        <v>248</v>
      </c>
      <c r="Y59" t="s">
        <v>1465</v>
      </c>
      <c r="Z59" t="s">
        <v>1465</v>
      </c>
      <c r="AA59" t="s">
        <v>1226</v>
      </c>
      <c r="AB59" t="s">
        <v>1227</v>
      </c>
      <c r="AC59" t="s">
        <v>1465</v>
      </c>
      <c r="AD59" t="s">
        <v>1465</v>
      </c>
      <c r="AE59" t="s">
        <v>451</v>
      </c>
      <c r="AF59" t="s">
        <v>1465</v>
      </c>
      <c r="AG59" t="s">
        <v>1465</v>
      </c>
      <c r="AH59" t="s">
        <v>76</v>
      </c>
      <c r="AI59" t="s">
        <v>427</v>
      </c>
      <c r="AJ59" t="s">
        <v>1465</v>
      </c>
      <c r="AK59" t="s">
        <v>1465</v>
      </c>
      <c r="AL59" t="s">
        <v>1465</v>
      </c>
      <c r="AM59" t="s">
        <v>1465</v>
      </c>
      <c r="AN59" t="s">
        <v>1465</v>
      </c>
      <c r="AO59" t="s">
        <v>1465</v>
      </c>
      <c r="AP59" t="s">
        <v>1228</v>
      </c>
      <c r="AQ59" t="s">
        <v>1229</v>
      </c>
      <c r="AR59" t="s">
        <v>1230</v>
      </c>
      <c r="AS59" t="s">
        <v>1231</v>
      </c>
      <c r="AT59" t="s">
        <v>1232</v>
      </c>
      <c r="AU59" t="s">
        <v>1465</v>
      </c>
      <c r="AV59" t="s">
        <v>1465</v>
      </c>
      <c r="AW59" t="s">
        <v>1465</v>
      </c>
      <c r="AX59" t="s">
        <v>1465</v>
      </c>
      <c r="AY59" t="s">
        <v>1465</v>
      </c>
      <c r="AZ59" t="s">
        <v>1465</v>
      </c>
      <c r="BA59" t="s">
        <v>580</v>
      </c>
      <c r="BB59" t="s">
        <v>1233</v>
      </c>
      <c r="BC59" t="s">
        <v>1465</v>
      </c>
      <c r="BD59" t="s">
        <v>1465</v>
      </c>
      <c r="BE59" t="s">
        <v>1465</v>
      </c>
      <c r="BF59" t="s">
        <v>1465</v>
      </c>
      <c r="BG59" t="s">
        <v>1465</v>
      </c>
      <c r="BH59" t="s">
        <v>1465</v>
      </c>
      <c r="BI59" t="s">
        <v>1234</v>
      </c>
      <c r="BJ59" t="s">
        <v>1235</v>
      </c>
      <c r="BK59" t="s">
        <v>462</v>
      </c>
      <c r="BL59" t="s">
        <v>1465</v>
      </c>
      <c r="BM59" t="s">
        <v>1465</v>
      </c>
      <c r="BN59" t="s">
        <v>1465</v>
      </c>
      <c r="BO59" t="s">
        <v>1465</v>
      </c>
    </row>
    <row r="60" spans="1:67" x14ac:dyDescent="0.3">
      <c r="A60" t="s">
        <v>1236</v>
      </c>
      <c r="B60" t="s">
        <v>203</v>
      </c>
      <c r="C60" t="s">
        <v>248</v>
      </c>
      <c r="D60" t="s">
        <v>248</v>
      </c>
      <c r="E60" t="s">
        <v>204</v>
      </c>
      <c r="F60" t="s">
        <v>145</v>
      </c>
      <c r="G60" t="s">
        <v>36</v>
      </c>
      <c r="H60" t="s">
        <v>1465</v>
      </c>
      <c r="I60" t="s">
        <v>975</v>
      </c>
      <c r="J60" t="s">
        <v>633</v>
      </c>
      <c r="K60" t="s">
        <v>882</v>
      </c>
      <c r="L60" t="s">
        <v>404</v>
      </c>
      <c r="M60" t="s">
        <v>35</v>
      </c>
      <c r="N60" t="s">
        <v>681</v>
      </c>
      <c r="O60" t="s">
        <v>1237</v>
      </c>
      <c r="P60" t="s">
        <v>420</v>
      </c>
      <c r="Q60" t="s">
        <v>420</v>
      </c>
      <c r="R60" t="s">
        <v>1465</v>
      </c>
      <c r="S60" t="s">
        <v>1238</v>
      </c>
      <c r="T60" t="s">
        <v>385</v>
      </c>
      <c r="U60" t="s">
        <v>248</v>
      </c>
      <c r="V60" t="s">
        <v>1238</v>
      </c>
      <c r="W60" t="s">
        <v>385</v>
      </c>
      <c r="X60" t="s">
        <v>248</v>
      </c>
      <c r="Y60" t="s">
        <v>1465</v>
      </c>
      <c r="Z60" t="s">
        <v>1465</v>
      </c>
      <c r="AA60" t="s">
        <v>1239</v>
      </c>
      <c r="AB60" t="s">
        <v>1240</v>
      </c>
      <c r="AC60" t="s">
        <v>37</v>
      </c>
      <c r="AD60" t="s">
        <v>76</v>
      </c>
      <c r="AE60" t="s">
        <v>182</v>
      </c>
      <c r="AF60" t="s">
        <v>182</v>
      </c>
      <c r="AG60" t="s">
        <v>182</v>
      </c>
      <c r="AH60" t="s">
        <v>76</v>
      </c>
      <c r="AI60" t="s">
        <v>389</v>
      </c>
      <c r="AJ60" t="s">
        <v>390</v>
      </c>
      <c r="AK60" t="s">
        <v>193</v>
      </c>
      <c r="AL60" t="s">
        <v>67</v>
      </c>
      <c r="AM60" t="s">
        <v>1465</v>
      </c>
      <c r="AN60" t="s">
        <v>1477</v>
      </c>
      <c r="AO60" t="s">
        <v>1471</v>
      </c>
      <c r="AP60" t="s">
        <v>1241</v>
      </c>
      <c r="AQ60" t="s">
        <v>1242</v>
      </c>
      <c r="AR60" t="s">
        <v>1243</v>
      </c>
      <c r="AS60" t="s">
        <v>1244</v>
      </c>
      <c r="AT60" t="s">
        <v>1245</v>
      </c>
      <c r="AU60" t="s">
        <v>987</v>
      </c>
      <c r="AV60" t="s">
        <v>1465</v>
      </c>
      <c r="AW60" t="s">
        <v>1465</v>
      </c>
      <c r="AX60" t="s">
        <v>1465</v>
      </c>
      <c r="AY60" t="s">
        <v>1465</v>
      </c>
      <c r="AZ60" t="s">
        <v>1465</v>
      </c>
      <c r="BA60" t="s">
        <v>847</v>
      </c>
      <c r="BB60" t="s">
        <v>1246</v>
      </c>
      <c r="BC60" t="s">
        <v>1465</v>
      </c>
      <c r="BD60" t="s">
        <v>1465</v>
      </c>
      <c r="BE60" t="s">
        <v>1465</v>
      </c>
      <c r="BF60" t="s">
        <v>1465</v>
      </c>
      <c r="BG60" t="s">
        <v>1465</v>
      </c>
      <c r="BH60" t="s">
        <v>1465</v>
      </c>
      <c r="BI60" t="s">
        <v>1241</v>
      </c>
      <c r="BJ60" t="s">
        <v>1247</v>
      </c>
      <c r="BK60" t="s">
        <v>402</v>
      </c>
      <c r="BL60" t="s">
        <v>1465</v>
      </c>
      <c r="BM60" t="s">
        <v>1465</v>
      </c>
      <c r="BN60" t="s">
        <v>1465</v>
      </c>
      <c r="BO60" t="s">
        <v>1465</v>
      </c>
    </row>
    <row r="61" spans="1:67" x14ac:dyDescent="0.3">
      <c r="A61" t="s">
        <v>1248</v>
      </c>
      <c r="B61" t="s">
        <v>1249</v>
      </c>
      <c r="C61" t="s">
        <v>1465</v>
      </c>
      <c r="D61" t="s">
        <v>1465</v>
      </c>
      <c r="E61" t="s">
        <v>1250</v>
      </c>
      <c r="F61" t="s">
        <v>754</v>
      </c>
      <c r="G61" t="s">
        <v>755</v>
      </c>
      <c r="H61" t="s">
        <v>1251</v>
      </c>
      <c r="I61" t="s">
        <v>376</v>
      </c>
      <c r="J61" t="s">
        <v>377</v>
      </c>
      <c r="K61" t="s">
        <v>817</v>
      </c>
      <c r="L61" t="s">
        <v>404</v>
      </c>
      <c r="M61" t="s">
        <v>1465</v>
      </c>
      <c r="N61" t="s">
        <v>618</v>
      </c>
      <c r="O61" t="s">
        <v>1252</v>
      </c>
      <c r="P61" t="s">
        <v>679</v>
      </c>
      <c r="Q61" t="s">
        <v>1253</v>
      </c>
      <c r="R61" t="s">
        <v>1465</v>
      </c>
      <c r="S61" t="s">
        <v>1465</v>
      </c>
      <c r="T61" t="s">
        <v>1465</v>
      </c>
      <c r="U61" t="s">
        <v>248</v>
      </c>
      <c r="V61" t="s">
        <v>1465</v>
      </c>
      <c r="W61" t="s">
        <v>1465</v>
      </c>
      <c r="X61" t="s">
        <v>248</v>
      </c>
      <c r="Y61" t="s">
        <v>1465</v>
      </c>
      <c r="Z61" t="s">
        <v>1465</v>
      </c>
      <c r="AA61" t="s">
        <v>1254</v>
      </c>
      <c r="AB61" t="s">
        <v>1255</v>
      </c>
      <c r="AC61" t="s">
        <v>76</v>
      </c>
      <c r="AD61" t="s">
        <v>76</v>
      </c>
      <c r="AE61" t="s">
        <v>146</v>
      </c>
      <c r="AF61" t="s">
        <v>80</v>
      </c>
      <c r="AG61" t="s">
        <v>1465</v>
      </c>
      <c r="AH61" t="s">
        <v>76</v>
      </c>
      <c r="AI61" t="s">
        <v>427</v>
      </c>
      <c r="AJ61" t="s">
        <v>1465</v>
      </c>
      <c r="AK61" t="s">
        <v>1465</v>
      </c>
      <c r="AL61" t="s">
        <v>1465</v>
      </c>
      <c r="AM61" t="s">
        <v>1465</v>
      </c>
      <c r="AN61" t="s">
        <v>1465</v>
      </c>
      <c r="AO61" t="s">
        <v>1465</v>
      </c>
      <c r="AP61" t="s">
        <v>1256</v>
      </c>
      <c r="AQ61" t="s">
        <v>1257</v>
      </c>
      <c r="AR61" t="s">
        <v>1258</v>
      </c>
      <c r="AS61" t="s">
        <v>1259</v>
      </c>
      <c r="AT61" t="s">
        <v>1260</v>
      </c>
      <c r="AU61" t="s">
        <v>1465</v>
      </c>
      <c r="AV61" t="s">
        <v>1465</v>
      </c>
      <c r="AW61" t="s">
        <v>248</v>
      </c>
      <c r="AX61" t="s">
        <v>248</v>
      </c>
      <c r="AY61" t="s">
        <v>1465</v>
      </c>
      <c r="AZ61" t="s">
        <v>1465</v>
      </c>
      <c r="BA61" t="s">
        <v>1261</v>
      </c>
      <c r="BB61" t="s">
        <v>1262</v>
      </c>
      <c r="BC61" t="s">
        <v>1465</v>
      </c>
      <c r="BD61" t="s">
        <v>1465</v>
      </c>
      <c r="BE61" t="s">
        <v>1465</v>
      </c>
      <c r="BF61" t="s">
        <v>1465</v>
      </c>
      <c r="BG61" t="s">
        <v>1465</v>
      </c>
      <c r="BH61" t="s">
        <v>1465</v>
      </c>
      <c r="BI61" t="s">
        <v>1256</v>
      </c>
      <c r="BJ61" t="s">
        <v>1263</v>
      </c>
      <c r="BK61" t="s">
        <v>462</v>
      </c>
      <c r="BL61" t="s">
        <v>1465</v>
      </c>
      <c r="BM61" t="s">
        <v>1465</v>
      </c>
      <c r="BN61" t="s">
        <v>1465</v>
      </c>
      <c r="BO61" t="s">
        <v>1465</v>
      </c>
    </row>
    <row r="62" spans="1:67" x14ac:dyDescent="0.3">
      <c r="A62" t="s">
        <v>1264</v>
      </c>
      <c r="B62" t="s">
        <v>1265</v>
      </c>
      <c r="C62" t="s">
        <v>1465</v>
      </c>
      <c r="D62" t="s">
        <v>1465</v>
      </c>
      <c r="E62" t="s">
        <v>1266</v>
      </c>
      <c r="F62" t="s">
        <v>160</v>
      </c>
      <c r="G62" t="s">
        <v>74</v>
      </c>
      <c r="H62" t="s">
        <v>1267</v>
      </c>
      <c r="I62" t="s">
        <v>1268</v>
      </c>
      <c r="J62" t="s">
        <v>633</v>
      </c>
      <c r="K62" t="s">
        <v>1550</v>
      </c>
      <c r="L62" t="s">
        <v>404</v>
      </c>
      <c r="M62" t="s">
        <v>1269</v>
      </c>
      <c r="N62" t="s">
        <v>698</v>
      </c>
      <c r="O62" t="s">
        <v>1192</v>
      </c>
      <c r="P62" t="s">
        <v>1465</v>
      </c>
      <c r="Q62" t="s">
        <v>1465</v>
      </c>
      <c r="R62" t="s">
        <v>1465</v>
      </c>
      <c r="S62" t="s">
        <v>1270</v>
      </c>
      <c r="T62" t="s">
        <v>385</v>
      </c>
      <c r="U62" t="s">
        <v>248</v>
      </c>
      <c r="V62" t="s">
        <v>549</v>
      </c>
      <c r="W62" t="s">
        <v>1465</v>
      </c>
      <c r="X62" t="s">
        <v>549</v>
      </c>
      <c r="Y62" t="s">
        <v>1465</v>
      </c>
      <c r="Z62" t="s">
        <v>448</v>
      </c>
      <c r="AA62" t="s">
        <v>1271</v>
      </c>
      <c r="AB62" t="s">
        <v>1272</v>
      </c>
      <c r="AC62" t="s">
        <v>76</v>
      </c>
      <c r="AD62" t="s">
        <v>76</v>
      </c>
      <c r="AE62" t="s">
        <v>1273</v>
      </c>
      <c r="AF62" t="s">
        <v>1465</v>
      </c>
      <c r="AG62" t="s">
        <v>1465</v>
      </c>
      <c r="AH62" t="s">
        <v>1273</v>
      </c>
      <c r="AI62" t="s">
        <v>427</v>
      </c>
      <c r="AJ62" t="s">
        <v>1470</v>
      </c>
      <c r="AK62" t="s">
        <v>1465</v>
      </c>
      <c r="AL62" t="s">
        <v>1465</v>
      </c>
      <c r="AM62" t="s">
        <v>1465</v>
      </c>
      <c r="AN62" t="s">
        <v>1465</v>
      </c>
      <c r="AO62" t="s">
        <v>1465</v>
      </c>
      <c r="AP62" t="s">
        <v>1274</v>
      </c>
      <c r="AQ62" t="s">
        <v>1275</v>
      </c>
      <c r="AR62" t="s">
        <v>1276</v>
      </c>
      <c r="AS62" t="s">
        <v>1277</v>
      </c>
      <c r="AT62" t="s">
        <v>1278</v>
      </c>
      <c r="AU62" t="s">
        <v>1487</v>
      </c>
      <c r="AV62" t="s">
        <v>1465</v>
      </c>
      <c r="AW62" t="s">
        <v>1465</v>
      </c>
      <c r="AX62" t="s">
        <v>1465</v>
      </c>
      <c r="AY62" t="s">
        <v>1465</v>
      </c>
      <c r="AZ62" t="s">
        <v>1465</v>
      </c>
      <c r="BA62" t="s">
        <v>646</v>
      </c>
      <c r="BB62" t="s">
        <v>1200</v>
      </c>
      <c r="BC62" t="s">
        <v>1465</v>
      </c>
      <c r="BD62" t="s">
        <v>1465</v>
      </c>
      <c r="BE62" t="s">
        <v>1465</v>
      </c>
      <c r="BF62" t="s">
        <v>1465</v>
      </c>
      <c r="BG62" t="s">
        <v>1465</v>
      </c>
      <c r="BH62" t="s">
        <v>1465</v>
      </c>
      <c r="BI62" t="s">
        <v>1274</v>
      </c>
      <c r="BJ62" t="s">
        <v>1465</v>
      </c>
      <c r="BK62" t="s">
        <v>462</v>
      </c>
      <c r="BL62" t="s">
        <v>1465</v>
      </c>
      <c r="BM62" t="s">
        <v>1465</v>
      </c>
      <c r="BN62" t="s">
        <v>1465</v>
      </c>
      <c r="BO62" t="s">
        <v>1465</v>
      </c>
    </row>
    <row r="63" spans="1:67" x14ac:dyDescent="0.3">
      <c r="A63" t="s">
        <v>1279</v>
      </c>
      <c r="B63" t="s">
        <v>158</v>
      </c>
      <c r="C63" t="s">
        <v>1560</v>
      </c>
      <c r="D63" t="s">
        <v>1561</v>
      </c>
      <c r="E63" t="s">
        <v>159</v>
      </c>
      <c r="F63" t="s">
        <v>160</v>
      </c>
      <c r="G63" t="s">
        <v>403</v>
      </c>
      <c r="H63" t="s">
        <v>1280</v>
      </c>
      <c r="I63" t="s">
        <v>1268</v>
      </c>
      <c r="J63" t="s">
        <v>633</v>
      </c>
      <c r="K63" t="s">
        <v>1550</v>
      </c>
      <c r="L63" t="s">
        <v>550</v>
      </c>
      <c r="M63" t="s">
        <v>35</v>
      </c>
      <c r="N63" t="s">
        <v>697</v>
      </c>
      <c r="O63" t="s">
        <v>1281</v>
      </c>
      <c r="P63" t="s">
        <v>697</v>
      </c>
      <c r="Q63" t="s">
        <v>420</v>
      </c>
      <c r="R63" t="s">
        <v>1465</v>
      </c>
      <c r="S63" t="s">
        <v>1282</v>
      </c>
      <c r="T63" t="s">
        <v>385</v>
      </c>
      <c r="U63" t="s">
        <v>248</v>
      </c>
      <c r="V63" t="s">
        <v>1283</v>
      </c>
      <c r="W63" t="s">
        <v>385</v>
      </c>
      <c r="X63" t="s">
        <v>1284</v>
      </c>
      <c r="Y63" t="s">
        <v>150</v>
      </c>
      <c r="Z63" t="s">
        <v>424</v>
      </c>
      <c r="AA63" t="s">
        <v>1285</v>
      </c>
      <c r="AB63" t="s">
        <v>1286</v>
      </c>
      <c r="AC63" t="s">
        <v>37</v>
      </c>
      <c r="AD63" t="s">
        <v>37</v>
      </c>
      <c r="AE63" t="s">
        <v>87</v>
      </c>
      <c r="AF63" t="s">
        <v>87</v>
      </c>
      <c r="AG63" t="s">
        <v>87</v>
      </c>
      <c r="AH63" t="s">
        <v>76</v>
      </c>
      <c r="AI63" t="s">
        <v>389</v>
      </c>
      <c r="AJ63" t="s">
        <v>1134</v>
      </c>
      <c r="AK63" t="s">
        <v>60</v>
      </c>
      <c r="AL63" t="s">
        <v>150</v>
      </c>
      <c r="AM63" t="s">
        <v>1465</v>
      </c>
      <c r="AN63" t="s">
        <v>1465</v>
      </c>
      <c r="AO63" t="s">
        <v>1465</v>
      </c>
      <c r="AP63" t="s">
        <v>1287</v>
      </c>
      <c r="AQ63" t="s">
        <v>1288</v>
      </c>
      <c r="AR63" t="s">
        <v>1289</v>
      </c>
      <c r="AS63" t="s">
        <v>1290</v>
      </c>
      <c r="AT63" t="s">
        <v>1291</v>
      </c>
      <c r="AU63" t="s">
        <v>1487</v>
      </c>
      <c r="AV63" t="s">
        <v>1465</v>
      </c>
      <c r="AW63" t="s">
        <v>1465</v>
      </c>
      <c r="AX63" t="s">
        <v>1465</v>
      </c>
      <c r="AY63" t="s">
        <v>1465</v>
      </c>
      <c r="AZ63" t="s">
        <v>1465</v>
      </c>
      <c r="BA63" t="s">
        <v>1292</v>
      </c>
      <c r="BB63" t="s">
        <v>1293</v>
      </c>
      <c r="BC63" t="s">
        <v>1465</v>
      </c>
      <c r="BD63" t="s">
        <v>1465</v>
      </c>
      <c r="BE63" t="s">
        <v>1465</v>
      </c>
      <c r="BF63" t="s">
        <v>1465</v>
      </c>
      <c r="BG63" t="s">
        <v>1465</v>
      </c>
      <c r="BH63" t="s">
        <v>1465</v>
      </c>
      <c r="BI63" t="s">
        <v>1294</v>
      </c>
      <c r="BJ63" t="s">
        <v>1465</v>
      </c>
      <c r="BK63" t="s">
        <v>402</v>
      </c>
      <c r="BL63" t="s">
        <v>1465</v>
      </c>
      <c r="BM63" t="s">
        <v>1465</v>
      </c>
      <c r="BN63" t="s">
        <v>1465</v>
      </c>
      <c r="BO63" t="s">
        <v>1465</v>
      </c>
    </row>
    <row r="64" spans="1:67" x14ac:dyDescent="0.3">
      <c r="A64" t="s">
        <v>1295</v>
      </c>
      <c r="B64" t="s">
        <v>1296</v>
      </c>
      <c r="C64" t="s">
        <v>1465</v>
      </c>
      <c r="D64" t="s">
        <v>1465</v>
      </c>
      <c r="E64" t="s">
        <v>1297</v>
      </c>
      <c r="F64" t="s">
        <v>176</v>
      </c>
      <c r="G64" t="s">
        <v>442</v>
      </c>
      <c r="H64" t="s">
        <v>1298</v>
      </c>
      <c r="I64" t="s">
        <v>632</v>
      </c>
      <c r="J64" t="s">
        <v>633</v>
      </c>
      <c r="K64" t="s">
        <v>1465</v>
      </c>
      <c r="L64" t="s">
        <v>404</v>
      </c>
      <c r="M64" t="s">
        <v>1465</v>
      </c>
      <c r="N64" t="s">
        <v>1465</v>
      </c>
      <c r="O64" t="s">
        <v>1465</v>
      </c>
      <c r="P64" t="s">
        <v>1465</v>
      </c>
      <c r="Q64" t="s">
        <v>1465</v>
      </c>
      <c r="R64" t="s">
        <v>1465</v>
      </c>
      <c r="S64" t="s">
        <v>1465</v>
      </c>
      <c r="T64" t="s">
        <v>1465</v>
      </c>
      <c r="U64" t="s">
        <v>1465</v>
      </c>
      <c r="V64" t="s">
        <v>1465</v>
      </c>
      <c r="W64" t="s">
        <v>1465</v>
      </c>
      <c r="X64" t="s">
        <v>1465</v>
      </c>
      <c r="Y64" t="s">
        <v>1465</v>
      </c>
      <c r="Z64" t="s">
        <v>1465</v>
      </c>
      <c r="AA64" t="s">
        <v>1465</v>
      </c>
      <c r="AB64" t="s">
        <v>1465</v>
      </c>
      <c r="AC64" t="s">
        <v>1465</v>
      </c>
      <c r="AD64" t="s">
        <v>1465</v>
      </c>
      <c r="AE64" t="s">
        <v>146</v>
      </c>
      <c r="AF64" t="s">
        <v>1465</v>
      </c>
      <c r="AG64" t="s">
        <v>1465</v>
      </c>
      <c r="AH64" t="s">
        <v>76</v>
      </c>
      <c r="AI64" t="s">
        <v>427</v>
      </c>
      <c r="AJ64" t="s">
        <v>1465</v>
      </c>
      <c r="AK64" t="s">
        <v>1465</v>
      </c>
      <c r="AL64" t="s">
        <v>1465</v>
      </c>
      <c r="AM64" t="s">
        <v>1465</v>
      </c>
      <c r="AN64" t="s">
        <v>1465</v>
      </c>
      <c r="AO64" t="s">
        <v>1465</v>
      </c>
      <c r="AP64" t="s">
        <v>1465</v>
      </c>
      <c r="AQ64" t="s">
        <v>1465</v>
      </c>
      <c r="AR64" t="s">
        <v>1465</v>
      </c>
      <c r="AS64" t="s">
        <v>1465</v>
      </c>
      <c r="AT64" t="s">
        <v>1299</v>
      </c>
      <c r="AU64" t="s">
        <v>644</v>
      </c>
      <c r="AV64" t="s">
        <v>1465</v>
      </c>
      <c r="AW64" t="s">
        <v>1465</v>
      </c>
      <c r="AX64" t="s">
        <v>1465</v>
      </c>
      <c r="AY64" t="s">
        <v>1465</v>
      </c>
      <c r="AZ64" t="s">
        <v>1465</v>
      </c>
      <c r="BA64" t="s">
        <v>1465</v>
      </c>
      <c r="BB64" t="s">
        <v>1465</v>
      </c>
      <c r="BC64" t="s">
        <v>1465</v>
      </c>
      <c r="BD64" t="s">
        <v>1465</v>
      </c>
      <c r="BE64" t="s">
        <v>1465</v>
      </c>
      <c r="BF64" t="s">
        <v>1465</v>
      </c>
      <c r="BG64" t="s">
        <v>1465</v>
      </c>
      <c r="BH64" t="s">
        <v>1465</v>
      </c>
      <c r="BI64" t="s">
        <v>1465</v>
      </c>
      <c r="BJ64" t="s">
        <v>1465</v>
      </c>
      <c r="BK64" t="s">
        <v>462</v>
      </c>
      <c r="BL64" t="s">
        <v>1465</v>
      </c>
      <c r="BM64" t="s">
        <v>1465</v>
      </c>
      <c r="BN64" t="s">
        <v>1465</v>
      </c>
      <c r="BO64" t="s">
        <v>1465</v>
      </c>
    </row>
    <row r="65" spans="1:67" x14ac:dyDescent="0.3">
      <c r="A65" t="s">
        <v>1300</v>
      </c>
      <c r="B65" t="s">
        <v>123</v>
      </c>
      <c r="C65" t="s">
        <v>1472</v>
      </c>
      <c r="D65" t="s">
        <v>1473</v>
      </c>
      <c r="E65" t="s">
        <v>124</v>
      </c>
      <c r="F65" t="s">
        <v>125</v>
      </c>
      <c r="G65" t="s">
        <v>403</v>
      </c>
      <c r="H65" t="s">
        <v>1301</v>
      </c>
      <c r="I65" t="s">
        <v>958</v>
      </c>
      <c r="J65" t="s">
        <v>633</v>
      </c>
      <c r="K65" t="s">
        <v>634</v>
      </c>
      <c r="L65" t="s">
        <v>1540</v>
      </c>
      <c r="M65" t="s">
        <v>35</v>
      </c>
      <c r="N65" t="s">
        <v>420</v>
      </c>
      <c r="O65" t="s">
        <v>1302</v>
      </c>
      <c r="P65" t="s">
        <v>420</v>
      </c>
      <c r="Q65" t="s">
        <v>420</v>
      </c>
      <c r="R65" t="s">
        <v>1465</v>
      </c>
      <c r="S65" t="s">
        <v>1303</v>
      </c>
      <c r="T65" t="s">
        <v>385</v>
      </c>
      <c r="U65" t="s">
        <v>1304</v>
      </c>
      <c r="V65" t="s">
        <v>1305</v>
      </c>
      <c r="W65" t="s">
        <v>385</v>
      </c>
      <c r="X65" t="s">
        <v>248</v>
      </c>
      <c r="Y65" t="s">
        <v>1465</v>
      </c>
      <c r="Z65" t="s">
        <v>1465</v>
      </c>
      <c r="AA65" t="s">
        <v>1306</v>
      </c>
      <c r="AB65" t="s">
        <v>1307</v>
      </c>
      <c r="AC65" t="s">
        <v>37</v>
      </c>
      <c r="AD65" t="s">
        <v>37</v>
      </c>
      <c r="AE65" t="s">
        <v>126</v>
      </c>
      <c r="AF65" t="s">
        <v>126</v>
      </c>
      <c r="AG65" t="s">
        <v>1465</v>
      </c>
      <c r="AH65" t="s">
        <v>126</v>
      </c>
      <c r="AI65" t="s">
        <v>427</v>
      </c>
      <c r="AJ65" t="s">
        <v>390</v>
      </c>
      <c r="AK65" t="s">
        <v>60</v>
      </c>
      <c r="AL65" t="s">
        <v>67</v>
      </c>
      <c r="AM65" t="s">
        <v>1465</v>
      </c>
      <c r="AN65" t="s">
        <v>1465</v>
      </c>
      <c r="AO65" t="s">
        <v>1465</v>
      </c>
      <c r="AP65" t="s">
        <v>1308</v>
      </c>
      <c r="AQ65" t="s">
        <v>1309</v>
      </c>
      <c r="AR65" t="s">
        <v>1310</v>
      </c>
      <c r="AS65" t="s">
        <v>1562</v>
      </c>
      <c r="AT65" t="s">
        <v>1465</v>
      </c>
      <c r="AU65" t="s">
        <v>967</v>
      </c>
      <c r="AV65" t="s">
        <v>1465</v>
      </c>
      <c r="AW65" t="s">
        <v>1465</v>
      </c>
      <c r="AX65" t="s">
        <v>1465</v>
      </c>
      <c r="AY65" t="s">
        <v>1465</v>
      </c>
      <c r="AZ65" t="s">
        <v>1465</v>
      </c>
      <c r="BA65" t="s">
        <v>1311</v>
      </c>
      <c r="BB65" t="s">
        <v>1312</v>
      </c>
      <c r="BC65" t="s">
        <v>1465</v>
      </c>
      <c r="BD65" t="s">
        <v>1465</v>
      </c>
      <c r="BE65" t="s">
        <v>1465</v>
      </c>
      <c r="BF65" t="s">
        <v>1465</v>
      </c>
      <c r="BG65" t="s">
        <v>1465</v>
      </c>
      <c r="BH65" t="s">
        <v>1465</v>
      </c>
      <c r="BI65" t="s">
        <v>1308</v>
      </c>
      <c r="BJ65" t="s">
        <v>1465</v>
      </c>
      <c r="BK65" t="s">
        <v>402</v>
      </c>
      <c r="BL65" t="s">
        <v>1465</v>
      </c>
      <c r="BM65" t="s">
        <v>1465</v>
      </c>
      <c r="BN65" t="s">
        <v>1465</v>
      </c>
      <c r="BO65" t="s">
        <v>1465</v>
      </c>
    </row>
    <row r="66" spans="1:67" x14ac:dyDescent="0.3">
      <c r="A66" t="s">
        <v>1313</v>
      </c>
      <c r="B66" t="s">
        <v>206</v>
      </c>
      <c r="C66" t="s">
        <v>1465</v>
      </c>
      <c r="D66" t="s">
        <v>1465</v>
      </c>
      <c r="E66" t="s">
        <v>207</v>
      </c>
      <c r="F66" t="s">
        <v>208</v>
      </c>
      <c r="G66" t="s">
        <v>403</v>
      </c>
      <c r="H66" t="s">
        <v>1314</v>
      </c>
      <c r="I66" t="s">
        <v>778</v>
      </c>
      <c r="J66" t="s">
        <v>633</v>
      </c>
      <c r="K66" t="s">
        <v>1550</v>
      </c>
      <c r="L66" t="s">
        <v>404</v>
      </c>
      <c r="M66" t="s">
        <v>50</v>
      </c>
      <c r="N66" t="s">
        <v>603</v>
      </c>
      <c r="O66" t="s">
        <v>1302</v>
      </c>
      <c r="P66" t="s">
        <v>587</v>
      </c>
      <c r="Q66" t="s">
        <v>915</v>
      </c>
      <c r="R66" t="s">
        <v>1465</v>
      </c>
      <c r="S66" t="s">
        <v>1315</v>
      </c>
      <c r="T66" t="s">
        <v>385</v>
      </c>
      <c r="U66" t="s">
        <v>248</v>
      </c>
      <c r="V66" t="s">
        <v>1316</v>
      </c>
      <c r="W66" t="s">
        <v>385</v>
      </c>
      <c r="X66" t="s">
        <v>248</v>
      </c>
      <c r="Y66" t="s">
        <v>1465</v>
      </c>
      <c r="Z66" t="s">
        <v>1465</v>
      </c>
      <c r="AA66" t="s">
        <v>1317</v>
      </c>
      <c r="AB66" t="s">
        <v>1318</v>
      </c>
      <c r="AC66" t="s">
        <v>1465</v>
      </c>
      <c r="AD66" t="s">
        <v>1465</v>
      </c>
      <c r="AE66" t="s">
        <v>141</v>
      </c>
      <c r="AF66" t="s">
        <v>46</v>
      </c>
      <c r="AG66" t="s">
        <v>1465</v>
      </c>
      <c r="AH66" t="s">
        <v>141</v>
      </c>
      <c r="AI66" t="s">
        <v>427</v>
      </c>
      <c r="AJ66" t="s">
        <v>1319</v>
      </c>
      <c r="AK66" t="s">
        <v>27</v>
      </c>
      <c r="AL66" t="s">
        <v>28</v>
      </c>
      <c r="AM66" t="s">
        <v>1465</v>
      </c>
      <c r="AN66" t="s">
        <v>1465</v>
      </c>
      <c r="AO66" t="s">
        <v>1465</v>
      </c>
      <c r="AP66" t="s">
        <v>1474</v>
      </c>
      <c r="AQ66" t="s">
        <v>1475</v>
      </c>
      <c r="AR66" t="s">
        <v>1476</v>
      </c>
      <c r="AS66" t="s">
        <v>1563</v>
      </c>
      <c r="AT66" t="s">
        <v>1465</v>
      </c>
      <c r="AU66" t="s">
        <v>788</v>
      </c>
      <c r="AV66" t="s">
        <v>1465</v>
      </c>
      <c r="AW66" t="s">
        <v>1465</v>
      </c>
      <c r="AX66" t="s">
        <v>1465</v>
      </c>
      <c r="AY66" t="s">
        <v>1465</v>
      </c>
      <c r="AZ66" t="s">
        <v>1465</v>
      </c>
      <c r="BA66" t="s">
        <v>789</v>
      </c>
      <c r="BB66" t="s">
        <v>1320</v>
      </c>
      <c r="BC66" t="s">
        <v>1465</v>
      </c>
      <c r="BD66" t="s">
        <v>1465</v>
      </c>
      <c r="BE66" t="s">
        <v>1465</v>
      </c>
      <c r="BF66" t="s">
        <v>1465</v>
      </c>
      <c r="BG66" t="s">
        <v>1465</v>
      </c>
      <c r="BH66" t="s">
        <v>1465</v>
      </c>
      <c r="BI66" t="s">
        <v>1321</v>
      </c>
      <c r="BJ66" t="s">
        <v>1322</v>
      </c>
      <c r="BK66" t="s">
        <v>402</v>
      </c>
      <c r="BL66" t="s">
        <v>1465</v>
      </c>
      <c r="BM66" t="s">
        <v>1465</v>
      </c>
      <c r="BN66" t="s">
        <v>1465</v>
      </c>
      <c r="BO66" t="s">
        <v>1465</v>
      </c>
    </row>
    <row r="67" spans="1:67" x14ac:dyDescent="0.3">
      <c r="A67" t="s">
        <v>1323</v>
      </c>
      <c r="B67" t="s">
        <v>22</v>
      </c>
      <c r="C67" t="s">
        <v>1465</v>
      </c>
      <c r="D67" t="s">
        <v>1465</v>
      </c>
      <c r="E67" t="s">
        <v>23</v>
      </c>
      <c r="F67" t="s">
        <v>85</v>
      </c>
      <c r="G67" t="s">
        <v>403</v>
      </c>
      <c r="H67" t="s">
        <v>1465</v>
      </c>
      <c r="I67" t="s">
        <v>1324</v>
      </c>
      <c r="J67" t="s">
        <v>377</v>
      </c>
      <c r="K67" t="s">
        <v>817</v>
      </c>
      <c r="L67" t="s">
        <v>404</v>
      </c>
      <c r="M67" t="s">
        <v>25</v>
      </c>
      <c r="N67" t="s">
        <v>603</v>
      </c>
      <c r="O67" t="s">
        <v>1325</v>
      </c>
      <c r="P67" t="s">
        <v>587</v>
      </c>
      <c r="Q67" t="s">
        <v>590</v>
      </c>
      <c r="R67" t="s">
        <v>1465</v>
      </c>
      <c r="S67" t="s">
        <v>1326</v>
      </c>
      <c r="T67" t="s">
        <v>385</v>
      </c>
      <c r="U67" t="s">
        <v>248</v>
      </c>
      <c r="V67" t="s">
        <v>1327</v>
      </c>
      <c r="W67" t="s">
        <v>385</v>
      </c>
      <c r="X67" t="s">
        <v>248</v>
      </c>
      <c r="Y67" t="s">
        <v>1465</v>
      </c>
      <c r="Z67" t="s">
        <v>1465</v>
      </c>
      <c r="AA67" t="s">
        <v>1328</v>
      </c>
      <c r="AB67" t="s">
        <v>1329</v>
      </c>
      <c r="AC67" t="s">
        <v>76</v>
      </c>
      <c r="AD67" t="s">
        <v>76</v>
      </c>
      <c r="AE67" t="s">
        <v>26</v>
      </c>
      <c r="AF67" t="s">
        <v>1564</v>
      </c>
      <c r="AG67" t="s">
        <v>768</v>
      </c>
      <c r="AH67" t="s">
        <v>146</v>
      </c>
      <c r="AI67" t="s">
        <v>1514</v>
      </c>
      <c r="AJ67" t="s">
        <v>1319</v>
      </c>
      <c r="AK67" t="s">
        <v>27</v>
      </c>
      <c r="AL67" t="s">
        <v>28</v>
      </c>
      <c r="AM67" t="s">
        <v>1465</v>
      </c>
      <c r="AN67" t="s">
        <v>1465</v>
      </c>
      <c r="AO67" t="s">
        <v>1465</v>
      </c>
      <c r="AP67" t="s">
        <v>1330</v>
      </c>
      <c r="AQ67" t="s">
        <v>1331</v>
      </c>
      <c r="AR67" t="s">
        <v>1332</v>
      </c>
      <c r="AS67" t="s">
        <v>1565</v>
      </c>
      <c r="AT67" t="s">
        <v>1465</v>
      </c>
      <c r="AU67" t="s">
        <v>1527</v>
      </c>
      <c r="AV67" t="s">
        <v>1465</v>
      </c>
      <c r="AW67" t="s">
        <v>1465</v>
      </c>
      <c r="AX67" t="s">
        <v>1465</v>
      </c>
      <c r="AY67" t="s">
        <v>1465</v>
      </c>
      <c r="AZ67" t="s">
        <v>1465</v>
      </c>
      <c r="BA67" t="s">
        <v>1333</v>
      </c>
      <c r="BB67" t="s">
        <v>1334</v>
      </c>
      <c r="BC67" t="s">
        <v>1465</v>
      </c>
      <c r="BD67" t="s">
        <v>1465</v>
      </c>
      <c r="BE67" t="s">
        <v>1465</v>
      </c>
      <c r="BF67" t="s">
        <v>1465</v>
      </c>
      <c r="BG67" t="s">
        <v>1465</v>
      </c>
      <c r="BH67" t="s">
        <v>1465</v>
      </c>
      <c r="BI67" t="s">
        <v>1335</v>
      </c>
      <c r="BJ67" t="s">
        <v>1336</v>
      </c>
      <c r="BK67" t="s">
        <v>402</v>
      </c>
      <c r="BL67" t="s">
        <v>1465</v>
      </c>
      <c r="BM67" t="s">
        <v>1465</v>
      </c>
      <c r="BN67" t="s">
        <v>1465</v>
      </c>
      <c r="BO67" t="s">
        <v>1465</v>
      </c>
    </row>
    <row r="68" spans="1:67" x14ac:dyDescent="0.3">
      <c r="A68" t="s">
        <v>1337</v>
      </c>
      <c r="B68" t="s">
        <v>209</v>
      </c>
      <c r="C68" t="s">
        <v>248</v>
      </c>
      <c r="D68" t="s">
        <v>248</v>
      </c>
      <c r="E68" t="s">
        <v>210</v>
      </c>
      <c r="F68" t="s">
        <v>43</v>
      </c>
      <c r="G68" t="s">
        <v>36</v>
      </c>
      <c r="H68" t="s">
        <v>1465</v>
      </c>
      <c r="I68" t="s">
        <v>566</v>
      </c>
      <c r="J68" t="s">
        <v>467</v>
      </c>
      <c r="K68" t="s">
        <v>445</v>
      </c>
      <c r="L68" t="s">
        <v>404</v>
      </c>
      <c r="M68" t="s">
        <v>50</v>
      </c>
      <c r="N68" t="s">
        <v>603</v>
      </c>
      <c r="O68" t="s">
        <v>1338</v>
      </c>
      <c r="P68" t="s">
        <v>587</v>
      </c>
      <c r="Q68" t="s">
        <v>587</v>
      </c>
      <c r="R68" t="s">
        <v>1465</v>
      </c>
      <c r="S68" t="s">
        <v>248</v>
      </c>
      <c r="T68" t="s">
        <v>248</v>
      </c>
      <c r="U68" t="s">
        <v>248</v>
      </c>
      <c r="V68" t="s">
        <v>1339</v>
      </c>
      <c r="W68" t="s">
        <v>385</v>
      </c>
      <c r="X68" t="s">
        <v>248</v>
      </c>
      <c r="Y68" t="s">
        <v>1465</v>
      </c>
      <c r="Z68" t="s">
        <v>1465</v>
      </c>
      <c r="AA68" t="s">
        <v>1465</v>
      </c>
      <c r="AB68" t="s">
        <v>1465</v>
      </c>
      <c r="AC68" t="s">
        <v>37</v>
      </c>
      <c r="AD68" t="s">
        <v>76</v>
      </c>
      <c r="AE68" t="s">
        <v>54</v>
      </c>
      <c r="AF68" t="s">
        <v>54</v>
      </c>
      <c r="AG68" t="s">
        <v>54</v>
      </c>
      <c r="AH68" t="s">
        <v>76</v>
      </c>
      <c r="AI68" t="s">
        <v>389</v>
      </c>
      <c r="AJ68" t="s">
        <v>390</v>
      </c>
      <c r="AK68" t="s">
        <v>27</v>
      </c>
      <c r="AL68" t="s">
        <v>60</v>
      </c>
      <c r="AM68" t="s">
        <v>1465</v>
      </c>
      <c r="AN68" t="s">
        <v>590</v>
      </c>
      <c r="AO68" t="s">
        <v>1340</v>
      </c>
      <c r="AP68" t="s">
        <v>1341</v>
      </c>
      <c r="AQ68" t="s">
        <v>1342</v>
      </c>
      <c r="AR68" t="s">
        <v>1343</v>
      </c>
      <c r="AS68" t="s">
        <v>1566</v>
      </c>
      <c r="AT68" t="s">
        <v>1465</v>
      </c>
      <c r="AU68" t="s">
        <v>578</v>
      </c>
      <c r="AV68" t="s">
        <v>1465</v>
      </c>
      <c r="AW68" t="s">
        <v>1465</v>
      </c>
      <c r="AX68" t="s">
        <v>1465</v>
      </c>
      <c r="AY68" t="s">
        <v>1465</v>
      </c>
      <c r="AZ68" t="s">
        <v>1465</v>
      </c>
      <c r="BA68" t="s">
        <v>459</v>
      </c>
      <c r="BB68" t="s">
        <v>1344</v>
      </c>
      <c r="BC68" t="s">
        <v>1465</v>
      </c>
      <c r="BD68" t="s">
        <v>1465</v>
      </c>
      <c r="BE68" t="s">
        <v>1465</v>
      </c>
      <c r="BF68" t="s">
        <v>1465</v>
      </c>
      <c r="BG68" t="s">
        <v>1465</v>
      </c>
      <c r="BH68" t="s">
        <v>1465</v>
      </c>
      <c r="BI68" t="s">
        <v>1341</v>
      </c>
      <c r="BJ68" t="s">
        <v>1465</v>
      </c>
      <c r="BK68" t="s">
        <v>402</v>
      </c>
      <c r="BL68" t="s">
        <v>1465</v>
      </c>
      <c r="BM68" t="s">
        <v>1465</v>
      </c>
      <c r="BN68" t="s">
        <v>1465</v>
      </c>
      <c r="BO68" t="s">
        <v>1465</v>
      </c>
    </row>
    <row r="69" spans="1:67" x14ac:dyDescent="0.3">
      <c r="A69" t="s">
        <v>1345</v>
      </c>
      <c r="B69" t="s">
        <v>47</v>
      </c>
      <c r="C69" t="s">
        <v>1531</v>
      </c>
      <c r="D69" t="s">
        <v>1532</v>
      </c>
      <c r="E69" t="s">
        <v>48</v>
      </c>
      <c r="F69" t="s">
        <v>49</v>
      </c>
      <c r="G69" t="s">
        <v>36</v>
      </c>
      <c r="H69" t="s">
        <v>1465</v>
      </c>
      <c r="I69" t="s">
        <v>466</v>
      </c>
      <c r="J69" t="s">
        <v>467</v>
      </c>
      <c r="K69" t="s">
        <v>445</v>
      </c>
      <c r="L69" t="s">
        <v>1540</v>
      </c>
      <c r="M69" t="s">
        <v>50</v>
      </c>
      <c r="N69" t="s">
        <v>603</v>
      </c>
      <c r="O69" t="s">
        <v>1338</v>
      </c>
      <c r="P69" t="s">
        <v>587</v>
      </c>
      <c r="Q69" t="s">
        <v>587</v>
      </c>
      <c r="R69" t="s">
        <v>1465</v>
      </c>
      <c r="S69" t="s">
        <v>248</v>
      </c>
      <c r="T69" t="s">
        <v>248</v>
      </c>
      <c r="U69" t="s">
        <v>248</v>
      </c>
      <c r="V69" t="s">
        <v>1346</v>
      </c>
      <c r="W69" t="s">
        <v>385</v>
      </c>
      <c r="X69" t="s">
        <v>248</v>
      </c>
      <c r="Y69" t="s">
        <v>1465</v>
      </c>
      <c r="Z69" t="s">
        <v>1465</v>
      </c>
      <c r="AA69" t="s">
        <v>1347</v>
      </c>
      <c r="AB69" t="s">
        <v>1348</v>
      </c>
      <c r="AC69" t="s">
        <v>196</v>
      </c>
      <c r="AD69" t="s">
        <v>80</v>
      </c>
      <c r="AE69" t="s">
        <v>51</v>
      </c>
      <c r="AF69" t="s">
        <v>51</v>
      </c>
      <c r="AG69" t="s">
        <v>51</v>
      </c>
      <c r="AH69" t="s">
        <v>76</v>
      </c>
      <c r="AI69" t="s">
        <v>389</v>
      </c>
      <c r="AJ69" t="s">
        <v>390</v>
      </c>
      <c r="AK69" t="s">
        <v>52</v>
      </c>
      <c r="AL69" t="s">
        <v>45</v>
      </c>
      <c r="AM69" t="s">
        <v>1465</v>
      </c>
      <c r="AN69" t="s">
        <v>391</v>
      </c>
      <c r="AO69" t="s">
        <v>1349</v>
      </c>
      <c r="AP69" t="s">
        <v>1350</v>
      </c>
      <c r="AQ69" t="s">
        <v>1351</v>
      </c>
      <c r="AR69" t="s">
        <v>1352</v>
      </c>
      <c r="AS69" t="s">
        <v>1567</v>
      </c>
      <c r="AT69" t="s">
        <v>1465</v>
      </c>
      <c r="AU69" t="s">
        <v>479</v>
      </c>
      <c r="AV69" t="s">
        <v>1465</v>
      </c>
      <c r="AW69" t="s">
        <v>1465</v>
      </c>
      <c r="AX69" t="s">
        <v>1465</v>
      </c>
      <c r="AY69" t="s">
        <v>1465</v>
      </c>
      <c r="AZ69" t="s">
        <v>1465</v>
      </c>
      <c r="BA69" t="s">
        <v>459</v>
      </c>
      <c r="BB69" t="s">
        <v>1353</v>
      </c>
      <c r="BC69" t="s">
        <v>1465</v>
      </c>
      <c r="BD69" t="s">
        <v>1465</v>
      </c>
      <c r="BE69" t="s">
        <v>1465</v>
      </c>
      <c r="BF69" t="s">
        <v>1465</v>
      </c>
      <c r="BG69" t="s">
        <v>1465</v>
      </c>
      <c r="BH69" t="s">
        <v>1465</v>
      </c>
      <c r="BI69" t="s">
        <v>1350</v>
      </c>
      <c r="BJ69" t="s">
        <v>1465</v>
      </c>
      <c r="BK69" t="s">
        <v>402</v>
      </c>
      <c r="BL69" t="s">
        <v>1465</v>
      </c>
      <c r="BM69" t="s">
        <v>1465</v>
      </c>
      <c r="BN69" t="s">
        <v>1465</v>
      </c>
      <c r="BO69" t="s">
        <v>1465</v>
      </c>
    </row>
    <row r="70" spans="1:67" x14ac:dyDescent="0.3">
      <c r="A70" t="s">
        <v>1568</v>
      </c>
      <c r="B70" t="s">
        <v>212</v>
      </c>
      <c r="C70" t="s">
        <v>1569</v>
      </c>
      <c r="D70" t="s">
        <v>1570</v>
      </c>
      <c r="E70" t="s">
        <v>213</v>
      </c>
      <c r="F70" t="s">
        <v>214</v>
      </c>
      <c r="G70" t="s">
        <v>74</v>
      </c>
      <c r="H70" t="s">
        <v>1465</v>
      </c>
      <c r="I70" t="s">
        <v>376</v>
      </c>
      <c r="J70" t="s">
        <v>377</v>
      </c>
      <c r="K70" t="s">
        <v>634</v>
      </c>
      <c r="L70" t="s">
        <v>678</v>
      </c>
      <c r="M70" t="s">
        <v>50</v>
      </c>
      <c r="N70" t="s">
        <v>621</v>
      </c>
      <c r="O70" t="s">
        <v>1354</v>
      </c>
      <c r="P70" t="s">
        <v>391</v>
      </c>
      <c r="Q70" t="s">
        <v>1477</v>
      </c>
      <c r="R70" t="s">
        <v>1465</v>
      </c>
      <c r="S70" t="s">
        <v>1478</v>
      </c>
      <c r="T70" t="s">
        <v>1479</v>
      </c>
      <c r="U70" t="s">
        <v>248</v>
      </c>
      <c r="V70" t="s">
        <v>1480</v>
      </c>
      <c r="W70" t="s">
        <v>1479</v>
      </c>
      <c r="X70" t="s">
        <v>248</v>
      </c>
      <c r="Y70" t="s">
        <v>1465</v>
      </c>
      <c r="Z70" t="s">
        <v>1465</v>
      </c>
      <c r="AA70" t="s">
        <v>1355</v>
      </c>
      <c r="AB70" t="s">
        <v>1356</v>
      </c>
      <c r="AC70" t="s">
        <v>88</v>
      </c>
      <c r="AD70" t="s">
        <v>37</v>
      </c>
      <c r="AE70" t="s">
        <v>215</v>
      </c>
      <c r="AF70" t="s">
        <v>1465</v>
      </c>
      <c r="AG70" t="s">
        <v>1465</v>
      </c>
      <c r="AH70" t="s">
        <v>215</v>
      </c>
      <c r="AI70" t="s">
        <v>427</v>
      </c>
      <c r="AJ70" t="s">
        <v>1134</v>
      </c>
      <c r="AK70" t="s">
        <v>1465</v>
      </c>
      <c r="AL70" t="s">
        <v>1465</v>
      </c>
      <c r="AM70" t="s">
        <v>1465</v>
      </c>
      <c r="AN70" t="s">
        <v>1465</v>
      </c>
      <c r="AO70" t="s">
        <v>1465</v>
      </c>
      <c r="AP70" t="s">
        <v>1357</v>
      </c>
      <c r="AQ70" t="s">
        <v>1358</v>
      </c>
      <c r="AR70" t="s">
        <v>1359</v>
      </c>
      <c r="AS70" t="s">
        <v>1571</v>
      </c>
      <c r="AT70" t="s">
        <v>1465</v>
      </c>
      <c r="AU70" t="s">
        <v>398</v>
      </c>
      <c r="AV70" t="s">
        <v>1465</v>
      </c>
      <c r="AW70" t="s">
        <v>1465</v>
      </c>
      <c r="AX70" t="s">
        <v>1465</v>
      </c>
      <c r="AY70" t="s">
        <v>1465</v>
      </c>
      <c r="AZ70" t="s">
        <v>1465</v>
      </c>
      <c r="BA70" t="s">
        <v>1360</v>
      </c>
      <c r="BB70" t="s">
        <v>1361</v>
      </c>
      <c r="BC70" t="s">
        <v>1465</v>
      </c>
      <c r="BD70" t="s">
        <v>1465</v>
      </c>
      <c r="BE70" t="s">
        <v>1465</v>
      </c>
      <c r="BF70" t="s">
        <v>1465</v>
      </c>
      <c r="BG70" t="s">
        <v>1465</v>
      </c>
      <c r="BH70" t="s">
        <v>1465</v>
      </c>
      <c r="BI70" t="s">
        <v>1362</v>
      </c>
      <c r="BJ70" t="s">
        <v>1363</v>
      </c>
      <c r="BK70" t="s">
        <v>1480</v>
      </c>
      <c r="BL70" t="s">
        <v>1465</v>
      </c>
      <c r="BM70" t="s">
        <v>1465</v>
      </c>
      <c r="BN70" t="s">
        <v>1465</v>
      </c>
      <c r="BO70" t="s">
        <v>1465</v>
      </c>
    </row>
    <row r="71" spans="1:67" x14ac:dyDescent="0.3">
      <c r="A71" t="s">
        <v>1465</v>
      </c>
      <c r="B71" t="s">
        <v>1364</v>
      </c>
      <c r="C71" t="s">
        <v>1465</v>
      </c>
      <c r="D71" t="s">
        <v>1465</v>
      </c>
      <c r="E71" t="s">
        <v>1365</v>
      </c>
      <c r="F71" t="s">
        <v>208</v>
      </c>
      <c r="G71" t="s">
        <v>755</v>
      </c>
      <c r="H71" t="s">
        <v>1366</v>
      </c>
      <c r="I71" t="s">
        <v>1268</v>
      </c>
      <c r="J71" t="s">
        <v>633</v>
      </c>
      <c r="K71" t="s">
        <v>1550</v>
      </c>
      <c r="L71" t="s">
        <v>404</v>
      </c>
      <c r="M71" t="s">
        <v>35</v>
      </c>
      <c r="N71" t="s">
        <v>1465</v>
      </c>
      <c r="O71" t="s">
        <v>1465</v>
      </c>
      <c r="P71" t="s">
        <v>1465</v>
      </c>
      <c r="Q71" t="s">
        <v>1465</v>
      </c>
      <c r="R71" t="s">
        <v>1465</v>
      </c>
      <c r="S71" t="s">
        <v>1465</v>
      </c>
      <c r="T71" t="s">
        <v>1465</v>
      </c>
      <c r="U71" t="s">
        <v>1465</v>
      </c>
      <c r="V71" t="s">
        <v>1465</v>
      </c>
      <c r="W71" t="s">
        <v>1465</v>
      </c>
      <c r="X71" t="s">
        <v>248</v>
      </c>
      <c r="Y71" t="s">
        <v>1465</v>
      </c>
      <c r="Z71" t="s">
        <v>1465</v>
      </c>
      <c r="AA71" t="s">
        <v>1465</v>
      </c>
      <c r="AB71" t="s">
        <v>1465</v>
      </c>
      <c r="AC71" t="s">
        <v>1465</v>
      </c>
      <c r="AD71" t="s">
        <v>1465</v>
      </c>
      <c r="AE71" t="s">
        <v>768</v>
      </c>
      <c r="AF71" t="s">
        <v>1465</v>
      </c>
      <c r="AG71" t="s">
        <v>1465</v>
      </c>
      <c r="AH71" t="s">
        <v>76</v>
      </c>
      <c r="AI71" t="s">
        <v>427</v>
      </c>
      <c r="AJ71" t="s">
        <v>1134</v>
      </c>
      <c r="AK71" t="s">
        <v>1465</v>
      </c>
      <c r="AL71" t="s">
        <v>1465</v>
      </c>
      <c r="AM71" t="s">
        <v>1465</v>
      </c>
      <c r="AN71" t="s">
        <v>1465</v>
      </c>
      <c r="AO71" t="s">
        <v>1465</v>
      </c>
      <c r="AP71" t="s">
        <v>1367</v>
      </c>
      <c r="AQ71" t="s">
        <v>1368</v>
      </c>
      <c r="AR71" t="s">
        <v>1369</v>
      </c>
      <c r="AS71" t="s">
        <v>1465</v>
      </c>
      <c r="AT71" t="s">
        <v>1465</v>
      </c>
      <c r="AU71" t="s">
        <v>1465</v>
      </c>
      <c r="AV71" t="s">
        <v>1465</v>
      </c>
      <c r="AW71" t="s">
        <v>1465</v>
      </c>
      <c r="AX71" t="s">
        <v>1465</v>
      </c>
      <c r="AY71" t="s">
        <v>1465</v>
      </c>
      <c r="AZ71" t="s">
        <v>1465</v>
      </c>
      <c r="BA71" t="s">
        <v>693</v>
      </c>
      <c r="BB71" t="s">
        <v>1370</v>
      </c>
      <c r="BC71" t="s">
        <v>1465</v>
      </c>
      <c r="BD71" t="s">
        <v>1465</v>
      </c>
      <c r="BE71" t="s">
        <v>1465</v>
      </c>
      <c r="BF71" t="s">
        <v>1465</v>
      </c>
      <c r="BG71" t="s">
        <v>1465</v>
      </c>
      <c r="BH71" t="s">
        <v>1465</v>
      </c>
      <c r="BI71" t="s">
        <v>1371</v>
      </c>
      <c r="BJ71" t="s">
        <v>1372</v>
      </c>
      <c r="BK71" t="s">
        <v>462</v>
      </c>
      <c r="BL71" t="s">
        <v>1465</v>
      </c>
      <c r="BM71" t="s">
        <v>1465</v>
      </c>
      <c r="BN71" t="s">
        <v>1465</v>
      </c>
      <c r="BO71" t="s">
        <v>1465</v>
      </c>
    </row>
    <row r="72" spans="1:67" x14ac:dyDescent="0.3">
      <c r="A72" t="s">
        <v>1572</v>
      </c>
      <c r="B72" t="s">
        <v>216</v>
      </c>
      <c r="C72" t="s">
        <v>1465</v>
      </c>
      <c r="D72" t="s">
        <v>1465</v>
      </c>
      <c r="E72" t="s">
        <v>217</v>
      </c>
      <c r="F72" t="s">
        <v>156</v>
      </c>
      <c r="G72" t="s">
        <v>403</v>
      </c>
      <c r="H72" t="s">
        <v>1465</v>
      </c>
      <c r="I72" t="s">
        <v>958</v>
      </c>
      <c r="J72" t="s">
        <v>633</v>
      </c>
      <c r="K72" t="s">
        <v>903</v>
      </c>
      <c r="L72" t="s">
        <v>404</v>
      </c>
      <c r="M72" t="s">
        <v>35</v>
      </c>
      <c r="N72" t="s">
        <v>621</v>
      </c>
      <c r="O72" t="s">
        <v>1373</v>
      </c>
      <c r="P72" t="s">
        <v>621</v>
      </c>
      <c r="Q72" t="s">
        <v>391</v>
      </c>
      <c r="R72" t="s">
        <v>1465</v>
      </c>
      <c r="S72" t="s">
        <v>1374</v>
      </c>
      <c r="T72" t="s">
        <v>1481</v>
      </c>
      <c r="U72" t="s">
        <v>248</v>
      </c>
      <c r="V72" t="s">
        <v>1375</v>
      </c>
      <c r="W72" t="s">
        <v>1481</v>
      </c>
      <c r="X72" t="s">
        <v>248</v>
      </c>
      <c r="Y72" t="s">
        <v>1465</v>
      </c>
      <c r="Z72" t="s">
        <v>1465</v>
      </c>
      <c r="AA72" t="s">
        <v>1376</v>
      </c>
      <c r="AB72" t="s">
        <v>1377</v>
      </c>
      <c r="AC72" t="s">
        <v>112</v>
      </c>
      <c r="AD72" t="s">
        <v>1465</v>
      </c>
      <c r="AE72" t="s">
        <v>219</v>
      </c>
      <c r="AF72" t="s">
        <v>106</v>
      </c>
      <c r="AG72" t="s">
        <v>1465</v>
      </c>
      <c r="AH72" t="s">
        <v>219</v>
      </c>
      <c r="AI72" t="s">
        <v>427</v>
      </c>
      <c r="AJ72" t="s">
        <v>1134</v>
      </c>
      <c r="AK72" t="s">
        <v>1465</v>
      </c>
      <c r="AL72" t="s">
        <v>1465</v>
      </c>
      <c r="AM72" t="s">
        <v>1465</v>
      </c>
      <c r="AN72" t="s">
        <v>1465</v>
      </c>
      <c r="AO72" t="s">
        <v>1465</v>
      </c>
      <c r="AP72" t="s">
        <v>1378</v>
      </c>
      <c r="AQ72" t="s">
        <v>1379</v>
      </c>
      <c r="AR72" t="s">
        <v>1380</v>
      </c>
      <c r="AS72" t="s">
        <v>1573</v>
      </c>
      <c r="AT72" t="s">
        <v>1465</v>
      </c>
      <c r="AU72" t="s">
        <v>967</v>
      </c>
      <c r="AV72" t="s">
        <v>1465</v>
      </c>
      <c r="AW72" t="s">
        <v>1381</v>
      </c>
      <c r="AX72" t="s">
        <v>1465</v>
      </c>
      <c r="AY72" t="s">
        <v>1465</v>
      </c>
      <c r="AZ72" t="s">
        <v>1465</v>
      </c>
      <c r="BA72" t="s">
        <v>911</v>
      </c>
      <c r="BB72" t="s">
        <v>1382</v>
      </c>
      <c r="BC72" t="s">
        <v>1465</v>
      </c>
      <c r="BD72" t="s">
        <v>1465</v>
      </c>
      <c r="BE72" t="s">
        <v>1465</v>
      </c>
      <c r="BF72" t="s">
        <v>1465</v>
      </c>
      <c r="BG72" t="s">
        <v>1465</v>
      </c>
      <c r="BH72" t="s">
        <v>1465</v>
      </c>
      <c r="BI72" t="s">
        <v>1383</v>
      </c>
      <c r="BJ72" t="s">
        <v>1384</v>
      </c>
      <c r="BK72" t="s">
        <v>462</v>
      </c>
      <c r="BL72" t="s">
        <v>1465</v>
      </c>
      <c r="BM72" t="s">
        <v>1465</v>
      </c>
      <c r="BN72" t="s">
        <v>1465</v>
      </c>
      <c r="BO72" t="s">
        <v>1465</v>
      </c>
    </row>
    <row r="73" spans="1:67" x14ac:dyDescent="0.3">
      <c r="A73" t="s">
        <v>1574</v>
      </c>
      <c r="B73" t="s">
        <v>238</v>
      </c>
      <c r="C73" t="s">
        <v>1465</v>
      </c>
      <c r="D73" t="s">
        <v>1465</v>
      </c>
      <c r="E73" t="s">
        <v>239</v>
      </c>
      <c r="F73" t="s">
        <v>160</v>
      </c>
      <c r="G73" t="s">
        <v>74</v>
      </c>
      <c r="H73" t="s">
        <v>1465</v>
      </c>
      <c r="I73" t="s">
        <v>778</v>
      </c>
      <c r="J73" t="s">
        <v>633</v>
      </c>
      <c r="K73" t="s">
        <v>1550</v>
      </c>
      <c r="L73" t="s">
        <v>404</v>
      </c>
      <c r="M73" t="s">
        <v>35</v>
      </c>
      <c r="N73" t="s">
        <v>621</v>
      </c>
      <c r="O73" t="s">
        <v>1385</v>
      </c>
      <c r="P73" t="s">
        <v>391</v>
      </c>
      <c r="Q73" t="s">
        <v>1386</v>
      </c>
      <c r="R73" t="s">
        <v>1465</v>
      </c>
      <c r="S73" t="s">
        <v>1482</v>
      </c>
      <c r="T73" t="s">
        <v>1479</v>
      </c>
      <c r="U73" t="s">
        <v>248</v>
      </c>
      <c r="V73" t="s">
        <v>1483</v>
      </c>
      <c r="W73" t="s">
        <v>1479</v>
      </c>
      <c r="X73" t="s">
        <v>248</v>
      </c>
      <c r="Y73" t="s">
        <v>1465</v>
      </c>
      <c r="Z73" t="s">
        <v>1465</v>
      </c>
      <c r="AA73" t="s">
        <v>1387</v>
      </c>
      <c r="AB73" t="s">
        <v>1388</v>
      </c>
      <c r="AC73" t="s">
        <v>1465</v>
      </c>
      <c r="AD73" t="s">
        <v>1465</v>
      </c>
      <c r="AE73" t="s">
        <v>240</v>
      </c>
      <c r="AF73" t="s">
        <v>1465</v>
      </c>
      <c r="AG73" t="s">
        <v>1465</v>
      </c>
      <c r="AH73" t="s">
        <v>240</v>
      </c>
      <c r="AI73" t="s">
        <v>427</v>
      </c>
      <c r="AJ73" t="s">
        <v>1134</v>
      </c>
      <c r="AK73" t="s">
        <v>1465</v>
      </c>
      <c r="AL73" t="s">
        <v>1465</v>
      </c>
      <c r="AM73" t="s">
        <v>1465</v>
      </c>
      <c r="AN73" t="s">
        <v>1465</v>
      </c>
      <c r="AO73" t="s">
        <v>1465</v>
      </c>
      <c r="AP73" t="s">
        <v>1389</v>
      </c>
      <c r="AQ73" t="s">
        <v>1390</v>
      </c>
      <c r="AR73" t="s">
        <v>1391</v>
      </c>
      <c r="AS73" t="s">
        <v>1575</v>
      </c>
      <c r="AT73" t="s">
        <v>1465</v>
      </c>
      <c r="AU73" t="s">
        <v>788</v>
      </c>
      <c r="AV73" t="s">
        <v>1465</v>
      </c>
      <c r="AW73" t="s">
        <v>1465</v>
      </c>
      <c r="AX73" t="s">
        <v>1465</v>
      </c>
      <c r="AY73" t="s">
        <v>1465</v>
      </c>
      <c r="AZ73" t="s">
        <v>1465</v>
      </c>
      <c r="BA73" t="s">
        <v>789</v>
      </c>
      <c r="BB73" t="s">
        <v>1392</v>
      </c>
      <c r="BC73" t="s">
        <v>1465</v>
      </c>
      <c r="BD73" t="s">
        <v>1465</v>
      </c>
      <c r="BE73" t="s">
        <v>1465</v>
      </c>
      <c r="BF73" t="s">
        <v>1465</v>
      </c>
      <c r="BG73" t="s">
        <v>1465</v>
      </c>
      <c r="BH73" t="s">
        <v>1465</v>
      </c>
      <c r="BI73" t="s">
        <v>1389</v>
      </c>
      <c r="BJ73" t="s">
        <v>1393</v>
      </c>
      <c r="BK73" t="s">
        <v>1483</v>
      </c>
      <c r="BL73" t="s">
        <v>1465</v>
      </c>
      <c r="BM73" t="s">
        <v>1465</v>
      </c>
      <c r="BN73" t="s">
        <v>1465</v>
      </c>
      <c r="BO73" t="s">
        <v>1465</v>
      </c>
    </row>
    <row r="74" spans="1:67" x14ac:dyDescent="0.3">
      <c r="A74" t="s">
        <v>1576</v>
      </c>
      <c r="B74" t="s">
        <v>223</v>
      </c>
      <c r="C74" t="s">
        <v>1465</v>
      </c>
      <c r="D74" t="s">
        <v>1465</v>
      </c>
      <c r="E74" t="s">
        <v>224</v>
      </c>
      <c r="F74" t="s">
        <v>156</v>
      </c>
      <c r="G74" t="s">
        <v>403</v>
      </c>
      <c r="H74" t="s">
        <v>1465</v>
      </c>
      <c r="I74" t="s">
        <v>1268</v>
      </c>
      <c r="J74" t="s">
        <v>633</v>
      </c>
      <c r="K74" t="s">
        <v>903</v>
      </c>
      <c r="L74" t="s">
        <v>404</v>
      </c>
      <c r="M74" t="s">
        <v>35</v>
      </c>
      <c r="N74" t="s">
        <v>621</v>
      </c>
      <c r="O74" t="s">
        <v>1394</v>
      </c>
      <c r="P74" t="s">
        <v>621</v>
      </c>
      <c r="Q74" t="s">
        <v>391</v>
      </c>
      <c r="R74" t="s">
        <v>1465</v>
      </c>
      <c r="S74" t="s">
        <v>1484</v>
      </c>
      <c r="T74" t="s">
        <v>1485</v>
      </c>
      <c r="U74" t="s">
        <v>248</v>
      </c>
      <c r="V74" t="s">
        <v>1486</v>
      </c>
      <c r="W74" t="s">
        <v>1485</v>
      </c>
      <c r="X74" t="s">
        <v>248</v>
      </c>
      <c r="Y74" t="s">
        <v>1465</v>
      </c>
      <c r="Z74" t="s">
        <v>1465</v>
      </c>
      <c r="AA74" t="s">
        <v>1395</v>
      </c>
      <c r="AB74" t="s">
        <v>1396</v>
      </c>
      <c r="AC74" t="s">
        <v>1465</v>
      </c>
      <c r="AD74" t="s">
        <v>1465</v>
      </c>
      <c r="AE74" t="s">
        <v>225</v>
      </c>
      <c r="AF74" t="s">
        <v>225</v>
      </c>
      <c r="AG74" t="s">
        <v>106</v>
      </c>
      <c r="AH74" t="s">
        <v>87</v>
      </c>
      <c r="AI74" t="s">
        <v>1577</v>
      </c>
      <c r="AJ74" t="s">
        <v>1134</v>
      </c>
      <c r="AK74" t="s">
        <v>1465</v>
      </c>
      <c r="AL74" t="s">
        <v>1465</v>
      </c>
      <c r="AM74" t="s">
        <v>1465</v>
      </c>
      <c r="AN74" t="s">
        <v>1465</v>
      </c>
      <c r="AO74" t="s">
        <v>1465</v>
      </c>
      <c r="AP74" t="s">
        <v>1397</v>
      </c>
      <c r="AQ74" t="s">
        <v>1398</v>
      </c>
      <c r="AR74" t="s">
        <v>1399</v>
      </c>
      <c r="AS74" t="s">
        <v>1578</v>
      </c>
      <c r="AT74" t="s">
        <v>1465</v>
      </c>
      <c r="AU74" t="s">
        <v>1487</v>
      </c>
      <c r="AV74" t="s">
        <v>1465</v>
      </c>
      <c r="AW74" t="s">
        <v>1465</v>
      </c>
      <c r="AX74" t="s">
        <v>1465</v>
      </c>
      <c r="AY74" t="s">
        <v>1465</v>
      </c>
      <c r="AZ74" t="s">
        <v>1465</v>
      </c>
      <c r="BA74" t="s">
        <v>1400</v>
      </c>
      <c r="BB74" t="s">
        <v>1401</v>
      </c>
      <c r="BC74" t="s">
        <v>1465</v>
      </c>
      <c r="BD74" t="s">
        <v>1465</v>
      </c>
      <c r="BE74" t="s">
        <v>1465</v>
      </c>
      <c r="BF74" t="s">
        <v>1465</v>
      </c>
      <c r="BG74" t="s">
        <v>1465</v>
      </c>
      <c r="BH74" t="s">
        <v>1465</v>
      </c>
      <c r="BI74" t="s">
        <v>1397</v>
      </c>
      <c r="BJ74" t="s">
        <v>1402</v>
      </c>
      <c r="BK74" t="s">
        <v>462</v>
      </c>
      <c r="BL74" t="s">
        <v>1465</v>
      </c>
      <c r="BM74" t="s">
        <v>1465</v>
      </c>
      <c r="BN74" t="s">
        <v>1465</v>
      </c>
      <c r="BO74" t="s">
        <v>1465</v>
      </c>
    </row>
    <row r="75" spans="1:67" x14ac:dyDescent="0.3">
      <c r="A75" t="s">
        <v>1579</v>
      </c>
      <c r="B75" t="s">
        <v>227</v>
      </c>
      <c r="C75" t="s">
        <v>1465</v>
      </c>
      <c r="D75" t="s">
        <v>1465</v>
      </c>
      <c r="E75" t="s">
        <v>228</v>
      </c>
      <c r="F75" t="s">
        <v>58</v>
      </c>
      <c r="G75" t="s">
        <v>74</v>
      </c>
      <c r="H75" t="s">
        <v>1404</v>
      </c>
      <c r="I75" t="s">
        <v>1324</v>
      </c>
      <c r="J75" t="s">
        <v>377</v>
      </c>
      <c r="K75" t="s">
        <v>1550</v>
      </c>
      <c r="L75" t="s">
        <v>404</v>
      </c>
      <c r="M75" t="s">
        <v>35</v>
      </c>
      <c r="N75" t="s">
        <v>391</v>
      </c>
      <c r="O75" t="s">
        <v>1405</v>
      </c>
      <c r="P75" t="s">
        <v>391</v>
      </c>
      <c r="Q75" t="s">
        <v>980</v>
      </c>
      <c r="R75" t="s">
        <v>1465</v>
      </c>
      <c r="S75" t="s">
        <v>1488</v>
      </c>
      <c r="T75" t="s">
        <v>1479</v>
      </c>
      <c r="U75" t="s">
        <v>248</v>
      </c>
      <c r="V75" t="s">
        <v>1489</v>
      </c>
      <c r="W75" t="s">
        <v>1479</v>
      </c>
      <c r="X75" t="s">
        <v>248</v>
      </c>
      <c r="Y75" t="s">
        <v>1465</v>
      </c>
      <c r="Z75" t="s">
        <v>1465</v>
      </c>
      <c r="AA75" t="s">
        <v>1406</v>
      </c>
      <c r="AB75" t="s">
        <v>1407</v>
      </c>
      <c r="AC75" t="s">
        <v>1465</v>
      </c>
      <c r="AD75" t="s">
        <v>1465</v>
      </c>
      <c r="AE75" t="s">
        <v>141</v>
      </c>
      <c r="AF75" t="s">
        <v>1465</v>
      </c>
      <c r="AG75" t="s">
        <v>1465</v>
      </c>
      <c r="AH75" t="s">
        <v>141</v>
      </c>
      <c r="AI75" t="s">
        <v>427</v>
      </c>
      <c r="AJ75" t="s">
        <v>1134</v>
      </c>
      <c r="AK75" t="s">
        <v>1465</v>
      </c>
      <c r="AL75" t="s">
        <v>1465</v>
      </c>
      <c r="AM75" t="s">
        <v>1465</v>
      </c>
      <c r="AN75" t="s">
        <v>1465</v>
      </c>
      <c r="AO75" t="s">
        <v>1465</v>
      </c>
      <c r="AP75" t="s">
        <v>1408</v>
      </c>
      <c r="AQ75" t="s">
        <v>1409</v>
      </c>
      <c r="AR75" t="s">
        <v>1410</v>
      </c>
      <c r="AS75" t="s">
        <v>1580</v>
      </c>
      <c r="AT75" t="s">
        <v>1465</v>
      </c>
      <c r="AU75" t="s">
        <v>1527</v>
      </c>
      <c r="AV75" t="s">
        <v>1465</v>
      </c>
      <c r="AW75" t="s">
        <v>1465</v>
      </c>
      <c r="AX75" t="s">
        <v>1465</v>
      </c>
      <c r="AY75" t="s">
        <v>1465</v>
      </c>
      <c r="AZ75" t="s">
        <v>1465</v>
      </c>
      <c r="BA75" t="s">
        <v>1411</v>
      </c>
      <c r="BB75" t="s">
        <v>1412</v>
      </c>
      <c r="BC75" t="s">
        <v>1465</v>
      </c>
      <c r="BD75" t="s">
        <v>1465</v>
      </c>
      <c r="BE75" t="s">
        <v>1465</v>
      </c>
      <c r="BF75" t="s">
        <v>1465</v>
      </c>
      <c r="BG75" t="s">
        <v>1465</v>
      </c>
      <c r="BH75" t="s">
        <v>1465</v>
      </c>
      <c r="BI75" t="s">
        <v>1408</v>
      </c>
      <c r="BJ75" t="s">
        <v>1413</v>
      </c>
      <c r="BK75" t="s">
        <v>1489</v>
      </c>
      <c r="BL75" t="s">
        <v>1465</v>
      </c>
      <c r="BM75" t="s">
        <v>1465</v>
      </c>
      <c r="BN75" t="s">
        <v>1465</v>
      </c>
      <c r="BO75" t="s">
        <v>1465</v>
      </c>
    </row>
    <row r="76" spans="1:67" x14ac:dyDescent="0.3">
      <c r="A76" t="s">
        <v>1581</v>
      </c>
      <c r="B76" t="s">
        <v>233</v>
      </c>
      <c r="C76" t="s">
        <v>1465</v>
      </c>
      <c r="D76" t="s">
        <v>1465</v>
      </c>
      <c r="E76" t="s">
        <v>234</v>
      </c>
      <c r="F76" t="s">
        <v>105</v>
      </c>
      <c r="G76" t="s">
        <v>74</v>
      </c>
      <c r="H76" t="s">
        <v>1403</v>
      </c>
      <c r="I76" t="s">
        <v>1268</v>
      </c>
      <c r="J76" t="s">
        <v>633</v>
      </c>
      <c r="K76" t="s">
        <v>1550</v>
      </c>
      <c r="L76" t="s">
        <v>404</v>
      </c>
      <c r="M76" t="s">
        <v>35</v>
      </c>
      <c r="N76" t="s">
        <v>1465</v>
      </c>
      <c r="O76" t="s">
        <v>1465</v>
      </c>
      <c r="P76" t="s">
        <v>1465</v>
      </c>
      <c r="Q76" t="s">
        <v>1465</v>
      </c>
      <c r="R76" t="s">
        <v>1465</v>
      </c>
      <c r="S76" t="s">
        <v>1465</v>
      </c>
      <c r="T76" t="s">
        <v>1465</v>
      </c>
      <c r="U76" t="s">
        <v>1465</v>
      </c>
      <c r="V76" t="s">
        <v>1465</v>
      </c>
      <c r="W76" t="s">
        <v>1465</v>
      </c>
      <c r="X76" t="s">
        <v>1465</v>
      </c>
      <c r="Y76" t="s">
        <v>1465</v>
      </c>
      <c r="Z76" t="s">
        <v>1465</v>
      </c>
      <c r="AA76" t="s">
        <v>1533</v>
      </c>
      <c r="AB76" t="s">
        <v>1534</v>
      </c>
      <c r="AC76" t="s">
        <v>1465</v>
      </c>
      <c r="AD76" t="s">
        <v>1465</v>
      </c>
      <c r="AE76" t="s">
        <v>235</v>
      </c>
      <c r="AF76" t="s">
        <v>1465</v>
      </c>
      <c r="AG76" t="s">
        <v>1465</v>
      </c>
      <c r="AH76" t="s">
        <v>235</v>
      </c>
      <c r="AI76" t="s">
        <v>427</v>
      </c>
      <c r="AJ76" t="s">
        <v>1465</v>
      </c>
      <c r="AK76" t="s">
        <v>1465</v>
      </c>
      <c r="AL76" t="s">
        <v>1465</v>
      </c>
      <c r="AM76" t="s">
        <v>1465</v>
      </c>
      <c r="AN76" t="s">
        <v>1465</v>
      </c>
      <c r="AO76" t="s">
        <v>1465</v>
      </c>
      <c r="AP76" t="s">
        <v>1465</v>
      </c>
      <c r="AQ76" t="s">
        <v>1465</v>
      </c>
      <c r="AR76" t="s">
        <v>1465</v>
      </c>
      <c r="AS76" t="s">
        <v>1582</v>
      </c>
      <c r="AT76" t="s">
        <v>1465</v>
      </c>
      <c r="AU76" t="s">
        <v>1487</v>
      </c>
      <c r="AV76" t="s">
        <v>1465</v>
      </c>
      <c r="AW76" t="s">
        <v>1465</v>
      </c>
      <c r="AX76" t="s">
        <v>1465</v>
      </c>
      <c r="AY76" t="s">
        <v>1465</v>
      </c>
      <c r="AZ76" t="s">
        <v>1465</v>
      </c>
      <c r="BA76" t="s">
        <v>1465</v>
      </c>
      <c r="BB76" t="s">
        <v>1465</v>
      </c>
      <c r="BC76" t="s">
        <v>1465</v>
      </c>
      <c r="BD76" t="s">
        <v>1465</v>
      </c>
      <c r="BE76" t="s">
        <v>1465</v>
      </c>
      <c r="BF76" t="s">
        <v>1465</v>
      </c>
      <c r="BG76" t="s">
        <v>1465</v>
      </c>
      <c r="BH76" t="s">
        <v>1465</v>
      </c>
      <c r="BI76" t="s">
        <v>1465</v>
      </c>
      <c r="BJ76" t="s">
        <v>1465</v>
      </c>
      <c r="BK76" t="s">
        <v>1490</v>
      </c>
      <c r="BL76" t="s">
        <v>1465</v>
      </c>
      <c r="BM76" t="s">
        <v>1465</v>
      </c>
      <c r="BN76" t="s">
        <v>1465</v>
      </c>
      <c r="BO76" t="s">
        <v>1465</v>
      </c>
    </row>
    <row r="77" spans="1:67" x14ac:dyDescent="0.3">
      <c r="A77" t="s">
        <v>1583</v>
      </c>
      <c r="B77" t="s">
        <v>244</v>
      </c>
      <c r="C77" t="s">
        <v>1465</v>
      </c>
      <c r="D77" t="s">
        <v>1465</v>
      </c>
      <c r="E77" t="s">
        <v>245</v>
      </c>
      <c r="F77" t="s">
        <v>243</v>
      </c>
      <c r="G77" t="s">
        <v>74</v>
      </c>
      <c r="H77" t="s">
        <v>1414</v>
      </c>
      <c r="I77" t="s">
        <v>778</v>
      </c>
      <c r="J77" t="s">
        <v>633</v>
      </c>
      <c r="K77" t="s">
        <v>445</v>
      </c>
      <c r="L77" t="s">
        <v>404</v>
      </c>
      <c r="M77" t="s">
        <v>181</v>
      </c>
      <c r="N77" t="s">
        <v>1415</v>
      </c>
      <c r="O77" t="s">
        <v>1416</v>
      </c>
      <c r="P77" t="s">
        <v>1417</v>
      </c>
      <c r="Q77" t="s">
        <v>1418</v>
      </c>
      <c r="R77" t="s">
        <v>1465</v>
      </c>
      <c r="S77" t="s">
        <v>1465</v>
      </c>
      <c r="T77" t="s">
        <v>1465</v>
      </c>
      <c r="U77" t="s">
        <v>1465</v>
      </c>
      <c r="V77" t="s">
        <v>1465</v>
      </c>
      <c r="W77" t="s">
        <v>1465</v>
      </c>
      <c r="X77" t="s">
        <v>1465</v>
      </c>
      <c r="Y77" t="s">
        <v>1465</v>
      </c>
      <c r="Z77" t="s">
        <v>1465</v>
      </c>
      <c r="AA77" t="s">
        <v>1465</v>
      </c>
      <c r="AB77" t="s">
        <v>1491</v>
      </c>
      <c r="AC77" t="s">
        <v>1465</v>
      </c>
      <c r="AD77" t="s">
        <v>1465</v>
      </c>
      <c r="AE77" t="s">
        <v>196</v>
      </c>
      <c r="AF77" t="s">
        <v>1465</v>
      </c>
      <c r="AG77" t="s">
        <v>1465</v>
      </c>
      <c r="AH77" t="s">
        <v>196</v>
      </c>
      <c r="AI77" t="s">
        <v>427</v>
      </c>
      <c r="AJ77" t="s">
        <v>1465</v>
      </c>
      <c r="AK77" t="s">
        <v>1465</v>
      </c>
      <c r="AL77" t="s">
        <v>1465</v>
      </c>
      <c r="AM77" t="s">
        <v>1465</v>
      </c>
      <c r="AN77" t="s">
        <v>1465</v>
      </c>
      <c r="AO77" t="s">
        <v>1465</v>
      </c>
      <c r="AP77" t="s">
        <v>1419</v>
      </c>
      <c r="AQ77" t="s">
        <v>1420</v>
      </c>
      <c r="AR77" t="s">
        <v>1421</v>
      </c>
      <c r="AS77" t="s">
        <v>1584</v>
      </c>
      <c r="AT77" t="s">
        <v>1465</v>
      </c>
      <c r="AU77" t="s">
        <v>788</v>
      </c>
      <c r="AV77" t="s">
        <v>1465</v>
      </c>
      <c r="AW77" t="s">
        <v>1465</v>
      </c>
      <c r="AX77" t="s">
        <v>1465</v>
      </c>
      <c r="AY77" t="s">
        <v>1465</v>
      </c>
      <c r="AZ77" t="s">
        <v>1465</v>
      </c>
      <c r="BA77" t="s">
        <v>1422</v>
      </c>
      <c r="BB77" t="s">
        <v>1423</v>
      </c>
      <c r="BC77" t="s">
        <v>1465</v>
      </c>
      <c r="BD77" t="s">
        <v>1465</v>
      </c>
      <c r="BE77" t="s">
        <v>1465</v>
      </c>
      <c r="BF77" t="s">
        <v>1465</v>
      </c>
      <c r="BG77" t="s">
        <v>1465</v>
      </c>
      <c r="BH77" t="s">
        <v>1465</v>
      </c>
      <c r="BI77" t="s">
        <v>1419</v>
      </c>
      <c r="BJ77" t="s">
        <v>1424</v>
      </c>
      <c r="BK77" t="s">
        <v>1490</v>
      </c>
      <c r="BL77" t="s">
        <v>1465</v>
      </c>
      <c r="BM77" t="s">
        <v>1465</v>
      </c>
      <c r="BN77" t="s">
        <v>1465</v>
      </c>
      <c r="BO77" t="s">
        <v>1465</v>
      </c>
    </row>
    <row r="78" spans="1:67" x14ac:dyDescent="0.3">
      <c r="A78" t="s">
        <v>1585</v>
      </c>
      <c r="B78" t="s">
        <v>246</v>
      </c>
      <c r="C78" t="s">
        <v>1465</v>
      </c>
      <c r="D78" t="s">
        <v>1465</v>
      </c>
      <c r="E78" t="s">
        <v>247</v>
      </c>
      <c r="F78" t="s">
        <v>43</v>
      </c>
      <c r="G78" t="s">
        <v>74</v>
      </c>
      <c r="H78" t="s">
        <v>1425</v>
      </c>
      <c r="I78" t="s">
        <v>632</v>
      </c>
      <c r="J78" t="s">
        <v>633</v>
      </c>
      <c r="K78" t="s">
        <v>445</v>
      </c>
      <c r="L78" t="s">
        <v>404</v>
      </c>
      <c r="M78" t="s">
        <v>35</v>
      </c>
      <c r="N78" t="s">
        <v>1465</v>
      </c>
      <c r="O78" t="s">
        <v>1465</v>
      </c>
      <c r="P78" t="s">
        <v>1465</v>
      </c>
      <c r="Q78" t="s">
        <v>1465</v>
      </c>
      <c r="R78" t="s">
        <v>1465</v>
      </c>
      <c r="S78" t="s">
        <v>1465</v>
      </c>
      <c r="T78" t="s">
        <v>1465</v>
      </c>
      <c r="U78" t="s">
        <v>1465</v>
      </c>
      <c r="V78" t="s">
        <v>1465</v>
      </c>
      <c r="W78" t="s">
        <v>1465</v>
      </c>
      <c r="X78" t="s">
        <v>1465</v>
      </c>
      <c r="Y78" t="s">
        <v>1465</v>
      </c>
      <c r="Z78" t="s">
        <v>1465</v>
      </c>
      <c r="AA78" t="s">
        <v>1465</v>
      </c>
      <c r="AB78" t="s">
        <v>1465</v>
      </c>
      <c r="AC78" t="s">
        <v>1465</v>
      </c>
      <c r="AD78" t="s">
        <v>1465</v>
      </c>
      <c r="AE78" t="s">
        <v>80</v>
      </c>
      <c r="AF78" t="s">
        <v>1465</v>
      </c>
      <c r="AG78" t="s">
        <v>1465</v>
      </c>
      <c r="AH78" t="s">
        <v>80</v>
      </c>
      <c r="AI78" t="s">
        <v>427</v>
      </c>
      <c r="AJ78" t="s">
        <v>1465</v>
      </c>
      <c r="AK78" t="s">
        <v>1465</v>
      </c>
      <c r="AL78" t="s">
        <v>1465</v>
      </c>
      <c r="AM78" t="s">
        <v>1465</v>
      </c>
      <c r="AN78" t="s">
        <v>1465</v>
      </c>
      <c r="AO78" t="s">
        <v>1465</v>
      </c>
      <c r="AP78" t="s">
        <v>1426</v>
      </c>
      <c r="AQ78" t="s">
        <v>1427</v>
      </c>
      <c r="AR78" t="s">
        <v>1428</v>
      </c>
      <c r="AS78" t="s">
        <v>1586</v>
      </c>
      <c r="AT78" t="s">
        <v>1465</v>
      </c>
      <c r="AU78" t="s">
        <v>644</v>
      </c>
      <c r="AV78" t="s">
        <v>1465</v>
      </c>
      <c r="AW78" t="s">
        <v>1465</v>
      </c>
      <c r="AX78" t="s">
        <v>1465</v>
      </c>
      <c r="AY78" t="s">
        <v>1465</v>
      </c>
      <c r="AZ78" t="s">
        <v>1465</v>
      </c>
      <c r="BA78" t="s">
        <v>580</v>
      </c>
      <c r="BB78" t="s">
        <v>1429</v>
      </c>
      <c r="BC78" t="s">
        <v>1465</v>
      </c>
      <c r="BD78" t="s">
        <v>1465</v>
      </c>
      <c r="BE78" t="s">
        <v>1465</v>
      </c>
      <c r="BF78" t="s">
        <v>1465</v>
      </c>
      <c r="BG78" t="s">
        <v>1465</v>
      </c>
      <c r="BH78" t="s">
        <v>1465</v>
      </c>
      <c r="BI78" t="s">
        <v>1430</v>
      </c>
      <c r="BJ78" t="s">
        <v>1431</v>
      </c>
      <c r="BK78" t="s">
        <v>1490</v>
      </c>
      <c r="BL78" t="s">
        <v>1465</v>
      </c>
      <c r="BM78" t="s">
        <v>1465</v>
      </c>
      <c r="BN78" t="s">
        <v>1465</v>
      </c>
      <c r="BO78" t="s">
        <v>1465</v>
      </c>
    </row>
    <row r="79" spans="1:67" x14ac:dyDescent="0.3">
      <c r="A79" t="s">
        <v>1587</v>
      </c>
      <c r="B79" t="s">
        <v>241</v>
      </c>
      <c r="C79" t="s">
        <v>1465</v>
      </c>
      <c r="D79" t="s">
        <v>1465</v>
      </c>
      <c r="E79" t="s">
        <v>242</v>
      </c>
      <c r="F79" t="s">
        <v>243</v>
      </c>
      <c r="G79" t="s">
        <v>74</v>
      </c>
      <c r="H79" t="s">
        <v>1414</v>
      </c>
      <c r="I79" t="s">
        <v>566</v>
      </c>
      <c r="J79" t="s">
        <v>467</v>
      </c>
      <c r="K79" t="s">
        <v>445</v>
      </c>
      <c r="L79" t="s">
        <v>404</v>
      </c>
      <c r="M79" t="s">
        <v>35</v>
      </c>
      <c r="N79" t="s">
        <v>1415</v>
      </c>
      <c r="O79" t="s">
        <v>1432</v>
      </c>
      <c r="P79" t="s">
        <v>1417</v>
      </c>
      <c r="Q79" t="s">
        <v>1417</v>
      </c>
      <c r="R79" t="s">
        <v>1465</v>
      </c>
      <c r="S79" t="s">
        <v>1465</v>
      </c>
      <c r="T79" t="s">
        <v>1465</v>
      </c>
      <c r="U79" t="s">
        <v>1465</v>
      </c>
      <c r="V79" t="s">
        <v>1465</v>
      </c>
      <c r="W79" t="s">
        <v>1465</v>
      </c>
      <c r="X79" t="s">
        <v>1465</v>
      </c>
      <c r="Y79" t="s">
        <v>1465</v>
      </c>
      <c r="Z79" t="s">
        <v>1465</v>
      </c>
      <c r="AA79" t="s">
        <v>1465</v>
      </c>
      <c r="AB79" t="s">
        <v>1492</v>
      </c>
      <c r="AC79" t="s">
        <v>1465</v>
      </c>
      <c r="AD79" t="s">
        <v>1465</v>
      </c>
      <c r="AE79" t="s">
        <v>80</v>
      </c>
      <c r="AF79" t="s">
        <v>1465</v>
      </c>
      <c r="AG79" t="s">
        <v>1465</v>
      </c>
      <c r="AH79" t="s">
        <v>80</v>
      </c>
      <c r="AI79" t="s">
        <v>427</v>
      </c>
      <c r="AJ79" t="s">
        <v>1465</v>
      </c>
      <c r="AK79" t="s">
        <v>1465</v>
      </c>
      <c r="AL79" t="s">
        <v>1465</v>
      </c>
      <c r="AM79" t="s">
        <v>1465</v>
      </c>
      <c r="AN79" t="s">
        <v>1465</v>
      </c>
      <c r="AO79" t="s">
        <v>1465</v>
      </c>
      <c r="AP79" t="s">
        <v>1433</v>
      </c>
      <c r="AQ79" t="s">
        <v>1434</v>
      </c>
      <c r="AR79" t="s">
        <v>1435</v>
      </c>
      <c r="AS79" t="s">
        <v>1588</v>
      </c>
      <c r="AT79" t="s">
        <v>1465</v>
      </c>
      <c r="AU79" t="s">
        <v>578</v>
      </c>
      <c r="AV79" t="s">
        <v>1465</v>
      </c>
      <c r="AW79" t="s">
        <v>1465</v>
      </c>
      <c r="AX79" t="s">
        <v>1465</v>
      </c>
      <c r="AY79" t="s">
        <v>1465</v>
      </c>
      <c r="AZ79" t="s">
        <v>1465</v>
      </c>
      <c r="BA79" t="s">
        <v>1436</v>
      </c>
      <c r="BB79" t="s">
        <v>1437</v>
      </c>
      <c r="BC79" t="s">
        <v>1465</v>
      </c>
      <c r="BD79" t="s">
        <v>1465</v>
      </c>
      <c r="BE79" t="s">
        <v>1465</v>
      </c>
      <c r="BF79" t="s">
        <v>1465</v>
      </c>
      <c r="BG79" t="s">
        <v>1465</v>
      </c>
      <c r="BH79" t="s">
        <v>1465</v>
      </c>
      <c r="BI79" t="s">
        <v>1433</v>
      </c>
      <c r="BJ79" t="s">
        <v>1438</v>
      </c>
      <c r="BK79" t="s">
        <v>1490</v>
      </c>
      <c r="BL79" t="s">
        <v>1465</v>
      </c>
      <c r="BM79" t="s">
        <v>1465</v>
      </c>
      <c r="BN79" t="s">
        <v>1465</v>
      </c>
      <c r="BO79" t="s">
        <v>1465</v>
      </c>
    </row>
    <row r="80" spans="1:67" x14ac:dyDescent="0.3">
      <c r="A80" t="s">
        <v>1589</v>
      </c>
      <c r="B80" t="s">
        <v>236</v>
      </c>
      <c r="C80" t="s">
        <v>1465</v>
      </c>
      <c r="D80" t="s">
        <v>1465</v>
      </c>
      <c r="E80" t="s">
        <v>237</v>
      </c>
      <c r="F80" t="s">
        <v>100</v>
      </c>
      <c r="G80" t="s">
        <v>74</v>
      </c>
      <c r="H80" t="s">
        <v>1414</v>
      </c>
      <c r="I80" t="s">
        <v>834</v>
      </c>
      <c r="J80" t="s">
        <v>377</v>
      </c>
      <c r="K80" t="s">
        <v>532</v>
      </c>
      <c r="L80" t="s">
        <v>404</v>
      </c>
      <c r="M80" t="s">
        <v>35</v>
      </c>
      <c r="N80" t="s">
        <v>391</v>
      </c>
      <c r="O80" t="s">
        <v>1439</v>
      </c>
      <c r="P80" t="s">
        <v>980</v>
      </c>
      <c r="Q80" t="s">
        <v>1417</v>
      </c>
      <c r="R80" t="s">
        <v>1465</v>
      </c>
      <c r="S80" t="s">
        <v>1465</v>
      </c>
      <c r="T80" t="s">
        <v>1465</v>
      </c>
      <c r="U80" t="s">
        <v>1465</v>
      </c>
      <c r="V80" t="s">
        <v>1465</v>
      </c>
      <c r="W80" t="s">
        <v>1465</v>
      </c>
      <c r="X80" t="s">
        <v>1465</v>
      </c>
      <c r="Y80" t="s">
        <v>1465</v>
      </c>
      <c r="Z80" t="s">
        <v>1465</v>
      </c>
      <c r="AA80" t="s">
        <v>1465</v>
      </c>
      <c r="AB80" t="s">
        <v>1465</v>
      </c>
      <c r="AC80" t="s">
        <v>1465</v>
      </c>
      <c r="AD80" t="s">
        <v>1465</v>
      </c>
      <c r="AE80" t="s">
        <v>80</v>
      </c>
      <c r="AF80" t="s">
        <v>1465</v>
      </c>
      <c r="AG80" t="s">
        <v>1465</v>
      </c>
      <c r="AH80" t="s">
        <v>80</v>
      </c>
      <c r="AI80" t="s">
        <v>427</v>
      </c>
      <c r="AJ80" t="s">
        <v>1465</v>
      </c>
      <c r="AK80" t="s">
        <v>1465</v>
      </c>
      <c r="AL80" t="s">
        <v>1465</v>
      </c>
      <c r="AM80" t="s">
        <v>1465</v>
      </c>
      <c r="AN80" t="s">
        <v>1465</v>
      </c>
      <c r="AO80" t="s">
        <v>1465</v>
      </c>
      <c r="AP80" t="s">
        <v>1440</v>
      </c>
      <c r="AQ80" t="s">
        <v>1441</v>
      </c>
      <c r="AR80" t="s">
        <v>1442</v>
      </c>
      <c r="AS80" t="s">
        <v>1590</v>
      </c>
      <c r="AT80" t="s">
        <v>1465</v>
      </c>
      <c r="AU80" t="s">
        <v>846</v>
      </c>
      <c r="AV80" t="s">
        <v>1465</v>
      </c>
      <c r="AW80" t="s">
        <v>1465</v>
      </c>
      <c r="AX80" t="s">
        <v>1465</v>
      </c>
      <c r="AY80" t="s">
        <v>1465</v>
      </c>
      <c r="AZ80" t="s">
        <v>1465</v>
      </c>
      <c r="BA80" t="s">
        <v>562</v>
      </c>
      <c r="BB80" t="s">
        <v>1443</v>
      </c>
      <c r="BC80" t="s">
        <v>1465</v>
      </c>
      <c r="BD80" t="s">
        <v>1465</v>
      </c>
      <c r="BE80" t="s">
        <v>1465</v>
      </c>
      <c r="BF80" t="s">
        <v>1465</v>
      </c>
      <c r="BG80" t="s">
        <v>1465</v>
      </c>
      <c r="BH80" t="s">
        <v>1465</v>
      </c>
      <c r="BI80" t="s">
        <v>1440</v>
      </c>
      <c r="BJ80" t="s">
        <v>1444</v>
      </c>
      <c r="BK80" t="s">
        <v>1490</v>
      </c>
      <c r="BL80" t="s">
        <v>1465</v>
      </c>
      <c r="BM80" t="s">
        <v>1465</v>
      </c>
      <c r="BN80" t="s">
        <v>1465</v>
      </c>
      <c r="BO80" t="s">
        <v>1465</v>
      </c>
    </row>
    <row r="81" spans="1:67" x14ac:dyDescent="0.3">
      <c r="A81" t="s">
        <v>1591</v>
      </c>
      <c r="B81" t="s">
        <v>231</v>
      </c>
      <c r="C81" t="s">
        <v>1465</v>
      </c>
      <c r="D81" t="s">
        <v>1465</v>
      </c>
      <c r="E81" t="s">
        <v>232</v>
      </c>
      <c r="F81" t="s">
        <v>100</v>
      </c>
      <c r="G81" t="s">
        <v>74</v>
      </c>
      <c r="H81" t="s">
        <v>1414</v>
      </c>
      <c r="I81" t="s">
        <v>677</v>
      </c>
      <c r="J81" t="s">
        <v>467</v>
      </c>
      <c r="K81" t="s">
        <v>532</v>
      </c>
      <c r="L81" t="s">
        <v>404</v>
      </c>
      <c r="M81" t="s">
        <v>35</v>
      </c>
      <c r="N81" t="s">
        <v>391</v>
      </c>
      <c r="O81" t="s">
        <v>1439</v>
      </c>
      <c r="P81" t="s">
        <v>980</v>
      </c>
      <c r="Q81" t="s">
        <v>980</v>
      </c>
      <c r="R81" t="s">
        <v>1465</v>
      </c>
      <c r="S81" t="s">
        <v>1465</v>
      </c>
      <c r="T81" t="s">
        <v>1465</v>
      </c>
      <c r="U81" t="s">
        <v>1465</v>
      </c>
      <c r="V81" t="s">
        <v>1465</v>
      </c>
      <c r="W81" t="s">
        <v>1465</v>
      </c>
      <c r="X81" t="s">
        <v>1465</v>
      </c>
      <c r="Y81" t="s">
        <v>1465</v>
      </c>
      <c r="Z81" t="s">
        <v>1465</v>
      </c>
      <c r="AA81" t="s">
        <v>1465</v>
      </c>
      <c r="AB81" t="s">
        <v>1445</v>
      </c>
      <c r="AC81" t="s">
        <v>1465</v>
      </c>
      <c r="AD81" t="s">
        <v>1465</v>
      </c>
      <c r="AE81" t="s">
        <v>112</v>
      </c>
      <c r="AF81" t="s">
        <v>1465</v>
      </c>
      <c r="AG81" t="s">
        <v>1465</v>
      </c>
      <c r="AH81" t="s">
        <v>112</v>
      </c>
      <c r="AI81" t="s">
        <v>427</v>
      </c>
      <c r="AJ81" t="s">
        <v>1465</v>
      </c>
      <c r="AK81" t="s">
        <v>1465</v>
      </c>
      <c r="AL81" t="s">
        <v>1465</v>
      </c>
      <c r="AM81" t="s">
        <v>1465</v>
      </c>
      <c r="AN81" t="s">
        <v>1465</v>
      </c>
      <c r="AO81" t="s">
        <v>1465</v>
      </c>
      <c r="AP81" t="s">
        <v>1446</v>
      </c>
      <c r="AQ81" t="s">
        <v>1447</v>
      </c>
      <c r="AR81" t="s">
        <v>1448</v>
      </c>
      <c r="AS81" t="s">
        <v>1592</v>
      </c>
      <c r="AT81" t="s">
        <v>1465</v>
      </c>
      <c r="AU81" t="s">
        <v>692</v>
      </c>
      <c r="AV81" t="s">
        <v>1465</v>
      </c>
      <c r="AW81" t="s">
        <v>1465</v>
      </c>
      <c r="AX81" t="s">
        <v>1465</v>
      </c>
      <c r="AY81" t="s">
        <v>1465</v>
      </c>
      <c r="AZ81" t="s">
        <v>1465</v>
      </c>
      <c r="BA81" t="s">
        <v>1449</v>
      </c>
      <c r="BB81" t="s">
        <v>1450</v>
      </c>
      <c r="BC81" t="s">
        <v>1465</v>
      </c>
      <c r="BD81" t="s">
        <v>1465</v>
      </c>
      <c r="BE81" t="s">
        <v>1465</v>
      </c>
      <c r="BF81" t="s">
        <v>1465</v>
      </c>
      <c r="BG81" t="s">
        <v>1465</v>
      </c>
      <c r="BH81" t="s">
        <v>1465</v>
      </c>
      <c r="BI81" t="s">
        <v>1451</v>
      </c>
      <c r="BJ81" t="s">
        <v>1452</v>
      </c>
      <c r="BK81" t="s">
        <v>1490</v>
      </c>
      <c r="BL81" t="s">
        <v>1465</v>
      </c>
      <c r="BM81" t="s">
        <v>1465</v>
      </c>
      <c r="BN81" t="s">
        <v>1465</v>
      </c>
      <c r="BO81" t="s">
        <v>1465</v>
      </c>
    </row>
    <row r="82" spans="1:67" x14ac:dyDescent="0.3">
      <c r="A82" t="s">
        <v>1593</v>
      </c>
      <c r="B82" t="s">
        <v>229</v>
      </c>
      <c r="C82" t="s">
        <v>1465</v>
      </c>
      <c r="D82" t="s">
        <v>1465</v>
      </c>
      <c r="E82" t="s">
        <v>230</v>
      </c>
      <c r="F82" t="s">
        <v>100</v>
      </c>
      <c r="G82" t="s">
        <v>74</v>
      </c>
      <c r="H82" t="s">
        <v>1414</v>
      </c>
      <c r="I82" t="s">
        <v>709</v>
      </c>
      <c r="J82" t="s">
        <v>467</v>
      </c>
      <c r="K82" t="s">
        <v>532</v>
      </c>
      <c r="L82" t="s">
        <v>404</v>
      </c>
      <c r="M82" t="s">
        <v>35</v>
      </c>
      <c r="N82" t="s">
        <v>391</v>
      </c>
      <c r="O82" t="s">
        <v>1439</v>
      </c>
      <c r="P82" t="s">
        <v>980</v>
      </c>
      <c r="Q82" t="s">
        <v>980</v>
      </c>
      <c r="R82" t="s">
        <v>1465</v>
      </c>
      <c r="S82" t="s">
        <v>1465</v>
      </c>
      <c r="T82" t="s">
        <v>1465</v>
      </c>
      <c r="U82" t="s">
        <v>1465</v>
      </c>
      <c r="V82" t="s">
        <v>1465</v>
      </c>
      <c r="W82" t="s">
        <v>1465</v>
      </c>
      <c r="X82" t="s">
        <v>1465</v>
      </c>
      <c r="Y82" t="s">
        <v>1465</v>
      </c>
      <c r="Z82" t="s">
        <v>1465</v>
      </c>
      <c r="AA82" t="s">
        <v>1465</v>
      </c>
      <c r="AB82" t="s">
        <v>1453</v>
      </c>
      <c r="AC82" t="s">
        <v>1465</v>
      </c>
      <c r="AD82" t="s">
        <v>1465</v>
      </c>
      <c r="AE82" t="s">
        <v>112</v>
      </c>
      <c r="AF82" t="s">
        <v>1465</v>
      </c>
      <c r="AG82" t="s">
        <v>1465</v>
      </c>
      <c r="AH82" t="s">
        <v>112</v>
      </c>
      <c r="AI82" t="s">
        <v>427</v>
      </c>
      <c r="AJ82" t="s">
        <v>1465</v>
      </c>
      <c r="AK82" t="s">
        <v>1465</v>
      </c>
      <c r="AL82" t="s">
        <v>1465</v>
      </c>
      <c r="AM82" t="s">
        <v>1465</v>
      </c>
      <c r="AN82" t="s">
        <v>1465</v>
      </c>
      <c r="AO82" t="s">
        <v>1465</v>
      </c>
      <c r="AP82" t="s">
        <v>1454</v>
      </c>
      <c r="AQ82" t="s">
        <v>1455</v>
      </c>
      <c r="AR82" t="s">
        <v>1456</v>
      </c>
      <c r="AS82" t="s">
        <v>1594</v>
      </c>
      <c r="AT82" t="s">
        <v>1465</v>
      </c>
      <c r="AU82" t="s">
        <v>718</v>
      </c>
      <c r="AV82" t="s">
        <v>1465</v>
      </c>
      <c r="AW82" t="s">
        <v>1465</v>
      </c>
      <c r="AX82" t="s">
        <v>1465</v>
      </c>
      <c r="AY82" t="s">
        <v>1465</v>
      </c>
      <c r="AZ82" t="s">
        <v>1465</v>
      </c>
      <c r="BA82" t="s">
        <v>544</v>
      </c>
      <c r="BB82" t="s">
        <v>1457</v>
      </c>
      <c r="BC82" t="s">
        <v>1465</v>
      </c>
      <c r="BD82" t="s">
        <v>1465</v>
      </c>
      <c r="BE82" t="s">
        <v>1465</v>
      </c>
      <c r="BF82" t="s">
        <v>1465</v>
      </c>
      <c r="BG82" t="s">
        <v>1465</v>
      </c>
      <c r="BH82" t="s">
        <v>1465</v>
      </c>
      <c r="BI82" t="s">
        <v>1454</v>
      </c>
      <c r="BJ82" t="s">
        <v>1458</v>
      </c>
      <c r="BK82" t="s">
        <v>1490</v>
      </c>
      <c r="BL82" t="s">
        <v>1465</v>
      </c>
      <c r="BM82" t="s">
        <v>1465</v>
      </c>
      <c r="BN82" t="s">
        <v>1465</v>
      </c>
      <c r="BO82" t="s">
        <v>1465</v>
      </c>
    </row>
    <row r="83" spans="1:67" x14ac:dyDescent="0.3">
      <c r="A83" t="s">
        <v>1595</v>
      </c>
      <c r="B83" t="s">
        <v>220</v>
      </c>
      <c r="C83" t="s">
        <v>1465</v>
      </c>
      <c r="D83" t="s">
        <v>1465</v>
      </c>
      <c r="E83" t="s">
        <v>221</v>
      </c>
      <c r="F83" t="s">
        <v>100</v>
      </c>
      <c r="G83" t="s">
        <v>74</v>
      </c>
      <c r="H83" t="s">
        <v>1414</v>
      </c>
      <c r="I83" t="s">
        <v>778</v>
      </c>
      <c r="J83" t="s">
        <v>633</v>
      </c>
      <c r="K83" t="s">
        <v>532</v>
      </c>
      <c r="L83" t="s">
        <v>404</v>
      </c>
      <c r="M83" t="s">
        <v>35</v>
      </c>
      <c r="N83" t="s">
        <v>1535</v>
      </c>
      <c r="O83" t="s">
        <v>1459</v>
      </c>
      <c r="P83" t="s">
        <v>1541</v>
      </c>
      <c r="Q83" t="s">
        <v>1541</v>
      </c>
      <c r="R83" t="s">
        <v>1465</v>
      </c>
      <c r="S83" t="s">
        <v>1596</v>
      </c>
      <c r="T83" t="s">
        <v>1597</v>
      </c>
      <c r="U83" t="s">
        <v>1465</v>
      </c>
      <c r="V83" t="s">
        <v>1465</v>
      </c>
      <c r="W83" t="s">
        <v>1465</v>
      </c>
      <c r="X83" t="s">
        <v>1465</v>
      </c>
      <c r="Y83" t="s">
        <v>1465</v>
      </c>
      <c r="Z83" t="s">
        <v>1465</v>
      </c>
      <c r="AA83" t="s">
        <v>1465</v>
      </c>
      <c r="AB83" t="s">
        <v>1465</v>
      </c>
      <c r="AC83" t="s">
        <v>1465</v>
      </c>
      <c r="AD83" t="s">
        <v>1465</v>
      </c>
      <c r="AE83" t="s">
        <v>37</v>
      </c>
      <c r="AF83" t="s">
        <v>1465</v>
      </c>
      <c r="AG83" t="s">
        <v>1465</v>
      </c>
      <c r="AH83" t="s">
        <v>37</v>
      </c>
      <c r="AI83" t="s">
        <v>427</v>
      </c>
      <c r="AJ83" t="s">
        <v>1465</v>
      </c>
      <c r="AK83" t="s">
        <v>1465</v>
      </c>
      <c r="AL83" t="s">
        <v>1465</v>
      </c>
      <c r="AM83" t="s">
        <v>1465</v>
      </c>
      <c r="AN83" t="s">
        <v>1465</v>
      </c>
      <c r="AO83" t="s">
        <v>1465</v>
      </c>
      <c r="AP83" t="s">
        <v>1460</v>
      </c>
      <c r="AQ83" t="s">
        <v>1461</v>
      </c>
      <c r="AR83" t="s">
        <v>1462</v>
      </c>
      <c r="AS83" t="s">
        <v>1598</v>
      </c>
      <c r="AT83" t="s">
        <v>1465</v>
      </c>
      <c r="AU83" t="s">
        <v>788</v>
      </c>
      <c r="AV83" t="s">
        <v>1465</v>
      </c>
      <c r="AW83" t="s">
        <v>1465</v>
      </c>
      <c r="AX83" t="s">
        <v>1465</v>
      </c>
      <c r="AY83" t="s">
        <v>1465</v>
      </c>
      <c r="AZ83" t="s">
        <v>1465</v>
      </c>
      <c r="BA83" t="s">
        <v>544</v>
      </c>
      <c r="BB83" t="s">
        <v>1463</v>
      </c>
      <c r="BC83" t="s">
        <v>1465</v>
      </c>
      <c r="BD83" t="s">
        <v>1465</v>
      </c>
      <c r="BE83" t="s">
        <v>1465</v>
      </c>
      <c r="BF83" t="s">
        <v>1465</v>
      </c>
      <c r="BG83" t="s">
        <v>1465</v>
      </c>
      <c r="BH83" t="s">
        <v>1465</v>
      </c>
      <c r="BI83" t="s">
        <v>1460</v>
      </c>
      <c r="BJ83" t="s">
        <v>1464</v>
      </c>
      <c r="BK83" t="s">
        <v>1490</v>
      </c>
      <c r="BL83" t="s">
        <v>1465</v>
      </c>
      <c r="BM83" t="s">
        <v>1465</v>
      </c>
      <c r="BN83" t="s">
        <v>1465</v>
      </c>
      <c r="BO83" t="s">
        <v>1465</v>
      </c>
    </row>
    <row r="84" spans="1:67" x14ac:dyDescent="0.3">
      <c r="A84" t="s">
        <v>1465</v>
      </c>
      <c r="B84" t="s">
        <v>1465</v>
      </c>
      <c r="C84" t="s">
        <v>1465</v>
      </c>
      <c r="D84" t="s">
        <v>1465</v>
      </c>
      <c r="E84" t="s">
        <v>1465</v>
      </c>
      <c r="F84" t="s">
        <v>1465</v>
      </c>
      <c r="G84" t="s">
        <v>1465</v>
      </c>
      <c r="H84" t="s">
        <v>1465</v>
      </c>
      <c r="I84" t="s">
        <v>1465</v>
      </c>
      <c r="J84" t="s">
        <v>444</v>
      </c>
      <c r="K84" t="s">
        <v>1465</v>
      </c>
      <c r="L84" t="s">
        <v>1465</v>
      </c>
      <c r="M84" t="s">
        <v>1465</v>
      </c>
      <c r="N84" t="s">
        <v>1465</v>
      </c>
      <c r="O84" t="s">
        <v>1465</v>
      </c>
      <c r="P84" t="s">
        <v>1465</v>
      </c>
      <c r="Q84" t="s">
        <v>1465</v>
      </c>
      <c r="R84" t="s">
        <v>1465</v>
      </c>
      <c r="S84" t="s">
        <v>1465</v>
      </c>
      <c r="T84" t="s">
        <v>1465</v>
      </c>
      <c r="U84" t="s">
        <v>1465</v>
      </c>
      <c r="V84" t="s">
        <v>1465</v>
      </c>
      <c r="W84" t="s">
        <v>1465</v>
      </c>
      <c r="X84" t="s">
        <v>1465</v>
      </c>
      <c r="Y84" t="s">
        <v>1465</v>
      </c>
      <c r="Z84" t="s">
        <v>1465</v>
      </c>
      <c r="AA84" t="s">
        <v>1465</v>
      </c>
      <c r="AB84" t="s">
        <v>1465</v>
      </c>
      <c r="AC84" t="s">
        <v>1465</v>
      </c>
      <c r="AD84" t="s">
        <v>1465</v>
      </c>
      <c r="AE84" t="s">
        <v>1465</v>
      </c>
      <c r="AF84" t="s">
        <v>1465</v>
      </c>
      <c r="AG84" t="s">
        <v>1465</v>
      </c>
      <c r="AH84" t="s">
        <v>1465</v>
      </c>
      <c r="AI84" t="s">
        <v>1465</v>
      </c>
      <c r="AJ84" t="s">
        <v>1465</v>
      </c>
      <c r="AK84" t="s">
        <v>1465</v>
      </c>
      <c r="AL84" t="s">
        <v>1465</v>
      </c>
      <c r="AM84" t="s">
        <v>1465</v>
      </c>
      <c r="AN84" t="s">
        <v>1465</v>
      </c>
      <c r="AO84" t="s">
        <v>1465</v>
      </c>
      <c r="AP84" t="s">
        <v>1465</v>
      </c>
      <c r="AQ84" t="s">
        <v>1465</v>
      </c>
      <c r="AR84" t="s">
        <v>1465</v>
      </c>
      <c r="AS84" t="s">
        <v>1465</v>
      </c>
      <c r="AT84" t="s">
        <v>1465</v>
      </c>
      <c r="AU84" t="s">
        <v>444</v>
      </c>
      <c r="AV84" t="s">
        <v>1465</v>
      </c>
      <c r="AW84" t="s">
        <v>1465</v>
      </c>
      <c r="AX84" t="s">
        <v>1465</v>
      </c>
      <c r="AY84" t="s">
        <v>1465</v>
      </c>
      <c r="AZ84" t="s">
        <v>1465</v>
      </c>
      <c r="BA84" t="s">
        <v>1465</v>
      </c>
      <c r="BB84" t="s">
        <v>1465</v>
      </c>
      <c r="BC84" t="s">
        <v>1465</v>
      </c>
      <c r="BD84" t="s">
        <v>1465</v>
      </c>
      <c r="BE84" t="s">
        <v>1465</v>
      </c>
      <c r="BF84" t="s">
        <v>1465</v>
      </c>
      <c r="BG84" t="s">
        <v>1465</v>
      </c>
      <c r="BH84" t="s">
        <v>1465</v>
      </c>
      <c r="BI84" t="s">
        <v>1465</v>
      </c>
      <c r="BJ84" t="s">
        <v>1465</v>
      </c>
      <c r="BK84" t="s">
        <v>1465</v>
      </c>
      <c r="BL84" t="s">
        <v>1465</v>
      </c>
      <c r="BM84" t="s">
        <v>1465</v>
      </c>
      <c r="BN84" t="s">
        <v>1465</v>
      </c>
      <c r="BO84" t="s">
        <v>1465</v>
      </c>
    </row>
    <row r="85" spans="1:67" x14ac:dyDescent="0.3">
      <c r="A85" t="s">
        <v>1465</v>
      </c>
      <c r="B85" t="s">
        <v>1465</v>
      </c>
      <c r="C85" t="s">
        <v>1465</v>
      </c>
      <c r="D85" t="s">
        <v>1465</v>
      </c>
      <c r="E85" t="s">
        <v>1465</v>
      </c>
      <c r="F85" t="s">
        <v>1465</v>
      </c>
      <c r="G85" t="s">
        <v>1465</v>
      </c>
      <c r="H85" t="s">
        <v>1465</v>
      </c>
      <c r="I85" t="s">
        <v>1465</v>
      </c>
      <c r="J85" t="s">
        <v>444</v>
      </c>
      <c r="K85" t="s">
        <v>1465</v>
      </c>
      <c r="L85" t="s">
        <v>1465</v>
      </c>
      <c r="M85" t="s">
        <v>1465</v>
      </c>
      <c r="N85" t="s">
        <v>1465</v>
      </c>
      <c r="O85" t="s">
        <v>1465</v>
      </c>
      <c r="P85" t="s">
        <v>1465</v>
      </c>
      <c r="Q85" t="s">
        <v>1465</v>
      </c>
      <c r="R85" t="s">
        <v>1465</v>
      </c>
      <c r="S85" t="s">
        <v>1465</v>
      </c>
      <c r="T85" t="s">
        <v>1465</v>
      </c>
      <c r="U85" t="s">
        <v>1465</v>
      </c>
      <c r="V85" t="s">
        <v>1465</v>
      </c>
      <c r="W85" t="s">
        <v>1465</v>
      </c>
      <c r="X85" t="s">
        <v>1465</v>
      </c>
      <c r="Y85" t="s">
        <v>1465</v>
      </c>
      <c r="Z85" t="s">
        <v>1465</v>
      </c>
      <c r="AA85" t="s">
        <v>1465</v>
      </c>
      <c r="AB85" t="s">
        <v>1465</v>
      </c>
      <c r="AC85" t="s">
        <v>1465</v>
      </c>
      <c r="AD85" t="s">
        <v>1465</v>
      </c>
      <c r="AE85" t="s">
        <v>1465</v>
      </c>
      <c r="AF85" t="s">
        <v>1465</v>
      </c>
      <c r="AG85" t="s">
        <v>1465</v>
      </c>
      <c r="AH85" t="s">
        <v>1465</v>
      </c>
      <c r="AI85" t="s">
        <v>1465</v>
      </c>
      <c r="AJ85" t="s">
        <v>1465</v>
      </c>
      <c r="AK85" t="s">
        <v>1465</v>
      </c>
      <c r="AL85" t="s">
        <v>1465</v>
      </c>
      <c r="AM85" t="s">
        <v>1465</v>
      </c>
      <c r="AN85" t="s">
        <v>1465</v>
      </c>
      <c r="AO85" t="s">
        <v>1465</v>
      </c>
      <c r="AP85" t="s">
        <v>1465</v>
      </c>
      <c r="AQ85" t="s">
        <v>1465</v>
      </c>
      <c r="AR85" t="s">
        <v>1465</v>
      </c>
      <c r="AS85" t="s">
        <v>1465</v>
      </c>
      <c r="AT85" t="s">
        <v>1465</v>
      </c>
      <c r="AU85" t="s">
        <v>444</v>
      </c>
      <c r="AV85" t="s">
        <v>1465</v>
      </c>
      <c r="AW85" t="s">
        <v>1465</v>
      </c>
      <c r="AX85" t="s">
        <v>1465</v>
      </c>
      <c r="AY85" t="s">
        <v>1465</v>
      </c>
      <c r="AZ85" t="s">
        <v>1465</v>
      </c>
      <c r="BA85" t="s">
        <v>1465</v>
      </c>
      <c r="BB85" t="s">
        <v>1465</v>
      </c>
      <c r="BC85" t="s">
        <v>1465</v>
      </c>
      <c r="BD85" t="s">
        <v>1465</v>
      </c>
      <c r="BE85" t="s">
        <v>1465</v>
      </c>
      <c r="BF85" t="s">
        <v>1465</v>
      </c>
      <c r="BG85" t="s">
        <v>1465</v>
      </c>
      <c r="BH85" t="s">
        <v>1465</v>
      </c>
      <c r="BI85" t="s">
        <v>1465</v>
      </c>
      <c r="BJ85" t="s">
        <v>1465</v>
      </c>
      <c r="BK85" t="s">
        <v>1465</v>
      </c>
      <c r="BL85" t="s">
        <v>1465</v>
      </c>
      <c r="BM85" t="s">
        <v>1465</v>
      </c>
      <c r="BN85" t="s">
        <v>1465</v>
      </c>
      <c r="BO85" t="s">
        <v>1465</v>
      </c>
    </row>
    <row r="86" spans="1:67" x14ac:dyDescent="0.3">
      <c r="A86" t="s">
        <v>1465</v>
      </c>
      <c r="B86" t="s">
        <v>1465</v>
      </c>
      <c r="C86" t="s">
        <v>1465</v>
      </c>
      <c r="D86" t="s">
        <v>1465</v>
      </c>
      <c r="E86" t="s">
        <v>1465</v>
      </c>
      <c r="F86" t="s">
        <v>1465</v>
      </c>
      <c r="G86" t="s">
        <v>1465</v>
      </c>
      <c r="H86" t="s">
        <v>1465</v>
      </c>
      <c r="I86" t="s">
        <v>1465</v>
      </c>
      <c r="J86" t="s">
        <v>444</v>
      </c>
      <c r="K86" t="s">
        <v>1465</v>
      </c>
      <c r="L86" t="s">
        <v>1465</v>
      </c>
      <c r="M86" t="s">
        <v>1465</v>
      </c>
      <c r="N86" t="s">
        <v>1465</v>
      </c>
      <c r="O86" t="s">
        <v>1465</v>
      </c>
      <c r="P86" t="s">
        <v>1465</v>
      </c>
      <c r="Q86" t="s">
        <v>1465</v>
      </c>
      <c r="R86" t="s">
        <v>1465</v>
      </c>
      <c r="S86" t="s">
        <v>1465</v>
      </c>
      <c r="T86" t="s">
        <v>1465</v>
      </c>
      <c r="U86" t="s">
        <v>1465</v>
      </c>
      <c r="V86" t="s">
        <v>1465</v>
      </c>
      <c r="W86" t="s">
        <v>1465</v>
      </c>
      <c r="X86" t="s">
        <v>1465</v>
      </c>
      <c r="Y86" t="s">
        <v>1465</v>
      </c>
      <c r="Z86" t="s">
        <v>1465</v>
      </c>
      <c r="AA86" t="s">
        <v>1465</v>
      </c>
      <c r="AB86" t="s">
        <v>1465</v>
      </c>
      <c r="AC86" t="s">
        <v>1465</v>
      </c>
      <c r="AD86" t="s">
        <v>1465</v>
      </c>
      <c r="AE86" t="s">
        <v>1465</v>
      </c>
      <c r="AF86" t="s">
        <v>1465</v>
      </c>
      <c r="AG86" t="s">
        <v>1465</v>
      </c>
      <c r="AH86" t="s">
        <v>76</v>
      </c>
      <c r="AI86" t="s">
        <v>427</v>
      </c>
      <c r="AJ86" t="s">
        <v>1465</v>
      </c>
      <c r="AK86" t="s">
        <v>1465</v>
      </c>
      <c r="AL86" t="s">
        <v>1465</v>
      </c>
      <c r="AM86" t="s">
        <v>1465</v>
      </c>
      <c r="AN86" t="s">
        <v>1465</v>
      </c>
      <c r="AO86" t="s">
        <v>1465</v>
      </c>
      <c r="AP86" t="s">
        <v>1465</v>
      </c>
      <c r="AQ86" t="s">
        <v>1465</v>
      </c>
      <c r="AR86" t="s">
        <v>1465</v>
      </c>
      <c r="AS86" t="s">
        <v>1465</v>
      </c>
      <c r="AT86" t="s">
        <v>1465</v>
      </c>
      <c r="AU86" t="s">
        <v>444</v>
      </c>
      <c r="AV86" t="s">
        <v>1465</v>
      </c>
      <c r="AW86" t="s">
        <v>1465</v>
      </c>
      <c r="AX86" t="s">
        <v>1465</v>
      </c>
      <c r="AY86" t="s">
        <v>1465</v>
      </c>
      <c r="AZ86" t="s">
        <v>1465</v>
      </c>
      <c r="BA86" t="s">
        <v>1465</v>
      </c>
      <c r="BB86" t="s">
        <v>1465</v>
      </c>
      <c r="BC86" t="s">
        <v>1465</v>
      </c>
      <c r="BD86" t="s">
        <v>1465</v>
      </c>
      <c r="BE86" t="s">
        <v>1465</v>
      </c>
      <c r="BF86" t="s">
        <v>1465</v>
      </c>
      <c r="BG86" t="s">
        <v>1465</v>
      </c>
      <c r="BH86" t="s">
        <v>1465</v>
      </c>
      <c r="BI86" t="s">
        <v>1465</v>
      </c>
      <c r="BJ86" t="s">
        <v>1465</v>
      </c>
      <c r="BK86" t="s">
        <v>1465</v>
      </c>
      <c r="BL86" t="s">
        <v>1465</v>
      </c>
      <c r="BM86" t="s">
        <v>1465</v>
      </c>
      <c r="BN86" t="s">
        <v>1465</v>
      </c>
      <c r="BO86" t="s">
        <v>1465</v>
      </c>
    </row>
    <row r="87" spans="1:67" x14ac:dyDescent="0.3">
      <c r="A87" t="s">
        <v>1465</v>
      </c>
      <c r="B87" t="s">
        <v>1465</v>
      </c>
      <c r="C87" t="s">
        <v>1465</v>
      </c>
      <c r="D87" t="s">
        <v>1465</v>
      </c>
      <c r="E87" t="s">
        <v>1465</v>
      </c>
      <c r="F87" t="s">
        <v>1465</v>
      </c>
      <c r="G87" t="s">
        <v>1465</v>
      </c>
      <c r="H87" t="s">
        <v>1465</v>
      </c>
      <c r="I87" t="s">
        <v>1465</v>
      </c>
      <c r="J87" t="s">
        <v>1465</v>
      </c>
      <c r="K87" t="s">
        <v>1465</v>
      </c>
      <c r="L87" t="s">
        <v>1465</v>
      </c>
      <c r="M87" t="s">
        <v>1465</v>
      </c>
      <c r="N87" t="s">
        <v>1465</v>
      </c>
      <c r="O87" t="s">
        <v>1465</v>
      </c>
      <c r="P87" t="s">
        <v>1465</v>
      </c>
      <c r="Q87" t="s">
        <v>1465</v>
      </c>
      <c r="R87" t="s">
        <v>1465</v>
      </c>
      <c r="S87" t="s">
        <v>1465</v>
      </c>
      <c r="T87" t="s">
        <v>1465</v>
      </c>
      <c r="U87" t="s">
        <v>1465</v>
      </c>
      <c r="V87" t="s">
        <v>1465</v>
      </c>
      <c r="W87" t="s">
        <v>1465</v>
      </c>
      <c r="X87" t="s">
        <v>1465</v>
      </c>
      <c r="Y87" t="s">
        <v>1465</v>
      </c>
      <c r="Z87" t="s">
        <v>1465</v>
      </c>
      <c r="AA87" t="s">
        <v>1465</v>
      </c>
      <c r="AB87" t="s">
        <v>1465</v>
      </c>
      <c r="AC87" t="s">
        <v>1465</v>
      </c>
      <c r="AD87" t="s">
        <v>1465</v>
      </c>
      <c r="AE87" t="s">
        <v>1465</v>
      </c>
      <c r="AF87" t="s">
        <v>1465</v>
      </c>
      <c r="AG87" t="s">
        <v>1465</v>
      </c>
      <c r="AH87" t="s">
        <v>1465</v>
      </c>
      <c r="AI87" t="s">
        <v>1465</v>
      </c>
      <c r="AJ87" t="s">
        <v>1465</v>
      </c>
      <c r="AK87" t="s">
        <v>1465</v>
      </c>
      <c r="AL87" t="s">
        <v>1465</v>
      </c>
      <c r="AM87" t="s">
        <v>1465</v>
      </c>
      <c r="AN87" t="s">
        <v>1465</v>
      </c>
      <c r="AO87" t="s">
        <v>1465</v>
      </c>
      <c r="AP87" t="s">
        <v>1465</v>
      </c>
      <c r="AQ87" t="s">
        <v>1465</v>
      </c>
      <c r="AR87" t="s">
        <v>1465</v>
      </c>
      <c r="AS87" t="s">
        <v>1465</v>
      </c>
      <c r="AT87" t="s">
        <v>1465</v>
      </c>
      <c r="AU87" t="s">
        <v>444</v>
      </c>
      <c r="AV87" t="s">
        <v>1465</v>
      </c>
      <c r="AW87" t="s">
        <v>1465</v>
      </c>
      <c r="AX87" t="s">
        <v>1465</v>
      </c>
      <c r="AY87" t="s">
        <v>1465</v>
      </c>
      <c r="AZ87" t="s">
        <v>1465</v>
      </c>
      <c r="BA87" t="s">
        <v>1465</v>
      </c>
      <c r="BB87" t="s">
        <v>1465</v>
      </c>
      <c r="BC87" t="s">
        <v>1465</v>
      </c>
      <c r="BD87" t="s">
        <v>1465</v>
      </c>
      <c r="BE87" t="s">
        <v>1465</v>
      </c>
      <c r="BF87" t="s">
        <v>1465</v>
      </c>
      <c r="BG87" t="s">
        <v>1465</v>
      </c>
      <c r="BH87" t="s">
        <v>1465</v>
      </c>
      <c r="BI87" t="s">
        <v>1465</v>
      </c>
      <c r="BJ87" t="s">
        <v>1465</v>
      </c>
      <c r="BK87" t="s">
        <v>1465</v>
      </c>
      <c r="BL87" t="s">
        <v>1465</v>
      </c>
      <c r="BM87" t="s">
        <v>1465</v>
      </c>
      <c r="BN87" t="s">
        <v>1465</v>
      </c>
      <c r="BO87" t="s">
        <v>1465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F67CA-416D-44B1-9342-436526A614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PROGRAMACAO</vt:lpstr>
      <vt:lpstr>UTDNOVEMBRO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SANTOS ALMEIDA</dc:creator>
  <cp:lastModifiedBy>JOAO VICTOR SANTOS ALMEIDA</cp:lastModifiedBy>
  <dcterms:created xsi:type="dcterms:W3CDTF">2025-10-31T10:44:17Z</dcterms:created>
  <dcterms:modified xsi:type="dcterms:W3CDTF">2025-11-13T19:38:51Z</dcterms:modified>
</cp:coreProperties>
</file>