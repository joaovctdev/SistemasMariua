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ROGRAMACAO" sheetId="1" state="visible" r:id="rId1"/>
    <sheet name="UTDNOVEMBRO" sheetId="2" state="visible" r:id="rId2"/>
  </sheets>
  <definedNames>
    <definedName name="DadosExternos_1" localSheetId="0" hidden="1">PROGRAMACAO!$A$1:$O$56</definedName>
    <definedName name="DadosExternos_1" localSheetId="1" hidden="1">UTDNOVEMBRO!$A$1:$BO$88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9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ub?gid_1064752002_single_true_output_csv" displayName="pub?gid_1064752002_single_true_output_csv" ref="A1:Y56" tableType="queryTable" headerRowCount="1" totalsRowShown="0">
  <autoFilter ref="A1:Y56"/>
  <tableColumns count="25">
    <tableColumn id="1" uniqueName="1" name="ENCARREGADO" queryTableFieldId="20" dataDxfId="91"/>
    <tableColumn id="2" uniqueName="2" name="SUPERVISOR" queryTableFieldId="21" dataDxfId="90"/>
    <tableColumn id="3" uniqueName="3" name="PROJETO" queryTableFieldId="22" dataDxfId="89"/>
    <tableColumn id="4" uniqueName="4" name="TITULO" queryTableFieldId="23" dataDxfId="88"/>
    <tableColumn id="5" uniqueName="5" name="MUNICIPIO" queryTableFieldId="24" dataDxfId="87"/>
    <tableColumn id="6" uniqueName="6" name="CRITÉRIO" queryTableFieldId="25" dataDxfId="86"/>
    <tableColumn id="7" uniqueName="7" name="ANOTAÇÕES" queryTableFieldId="26" dataDxfId="85"/>
    <tableColumn id="8" uniqueName="8" name="POSTES PREVISTOS" queryTableFieldId="27" dataDxfId="84"/>
    <tableColumn id="9" uniqueName="9" name="DATA DE INICIO" queryTableFieldId="28" dataDxfId="83"/>
    <tableColumn id="10" uniqueName="10" name="DATA CONCLUSÃO" queryTableFieldId="29" dataDxfId="82"/>
    <tableColumn id="11" uniqueName="11" name="OBRA DA SEMANA" queryTableFieldId="30" dataDxfId="81"/>
    <tableColumn id="12" uniqueName="12" name="NECESSIDADE" queryTableFieldId="31" dataDxfId="80"/>
    <tableColumn id="13" uniqueName="13" name="PROGRAMAÇÃO LV" queryTableFieldId="32" dataDxfId="79"/>
    <tableColumn id="14" uniqueName="14" name="CAVAS REALIZADAS" queryTableFieldId="33" dataDxfId="78"/>
    <tableColumn id="15" uniqueName="15" name="POSTES REALIZADOS" queryTableFieldId="34" dataDxfId="77"/>
    <tableColumn id="16" uniqueName="16" name="LATITUDE" queryTableFieldId="16" dataDxfId="76">
      <calculatedColumnFormula>VLOOKUP(pub?gid_1064752002_single_true_output_csv[[#This Row],[PROJETO]],UTDNOVEMBRO!B:AQ,42,FALSE)</calculatedColumnFormula>
    </tableColumn>
    <tableColumn id="17" uniqueName="17" name="LONGITUDE" queryTableFieldId="17" dataDxfId="75">
      <calculatedColumnFormula>VLOOKUP(pub?gid_1064752002_single_true_output_csv[[#This Row],[PROJETO]],UTDNOVEMBRO!B:AR,43,FALSE)</calculatedColumnFormula>
    </tableColumn>
    <tableColumn id="18" uniqueName="18" name="CLIENTES PREVISTOS" queryTableFieldId="18" dataDxfId="74">
      <calculatedColumnFormula>VLOOKUP(pub?gid_1064752002_single_true_output_csv[[#This Row],[PROJETO]],UTDNOVEMBRO!B:AC,28,FALSE)</calculatedColumnFormula>
    </tableColumn>
    <tableColumn id="19" uniqueName="19" name="PROJETO KIT" queryTableFieldId="35" dataDxfId="73">
      <calculatedColumnFormula>VLOOKUP(pub?gid_1064752002_single_true_output_csv[[#This Row],[PROJETO]],UTDNOVEMBRO!B:C,2,FALSE)</calculatedColumnFormula>
    </tableColumn>
    <tableColumn id="20" uniqueName="20" name="PROJETO MEDIDOR" queryTableFieldId="36" dataDxfId="72">
      <calculatedColumnFormula>VLOOKUP(pub?gid_1064752002_single_true_output_csv[[#This Row],[PROJETO]],UTDNOVEMBRO!B:D,3,FALSE)</calculatedColumnFormula>
    </tableColumn>
    <tableColumn id="21" uniqueName="21" name="AR COELBA" queryTableFieldId="37" dataDxfId="71">
      <calculatedColumnFormula>VLOOKUP(pub?gid_1064752002_single_true_output_csv[[#This Row],[PROJETO]],UTDNOVEMBRO!B:K,10,FALSE)</calculatedColumnFormula>
    </tableColumn>
    <tableColumn id="22" uniqueName="22" name="VISITA PRÉVIA" queryTableFieldId="38" dataDxfId="70">
      <calculatedColumnFormula>VLOOKUP(pub?gid_1064752002_single_true_output_csv[[#This Row],[PROJETO]],UTDNOVEMBRO!B:N,13,FALSE)</calculatedColumnFormula>
    </tableColumn>
    <tableColumn id="23" uniqueName="23" name="OBSERVAÇÃO DA VISITA" queryTableFieldId="39" dataDxfId="69">
      <calculatedColumnFormula>VLOOKUP(pub?gid_1064752002_single_true_output_csv[[#This Row],[PROJETO]],UTDNOVEMBRO!B:O,14,FALSE)</calculatedColumnFormula>
    </tableColumn>
    <tableColumn id="25" uniqueName="25" name="ANÁLISE PRÉ FECH" queryTableFieldId="40" dataDxfId="68">
      <calculatedColumnFormula>VLOOKUP(pub?gid_1064752002_single_true_output_csv[[#This Row],[PROJETO]],UTDNOVEMBRO!B:P,15,FALSE)</calculatedColumnFormula>
    </tableColumn>
    <tableColumn id="26" uniqueName="26" name="SOLICITAÇÃO DE RESERVA" queryTableFieldId="41" dataDxfId="67">
      <calculatedColumnFormula>VLOOKUP(pub?gid_1064752002_single_true_output_csv[[#This Row],[PROJETO]],UTDNOVEMBRO!B:Q,16,FALSE)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2" name="pub?gid_3738513_single_true_output_csv" displayName="pub?gid_3738513_single_true_output_csv" ref="A1:BO88" tableType="queryTable" headerRowCount="1" totalsRowShown="0">
  <autoFilter ref="A1:BO88"/>
  <tableColumns count="67">
    <tableColumn id="1" uniqueName="1" name="Column1" queryTableFieldId="1" dataDxfId="66"/>
    <tableColumn id="2" uniqueName="2" name="Column2" queryTableFieldId="2" dataDxfId="65"/>
    <tableColumn id="3" uniqueName="3" name="Column3" queryTableFieldId="3" dataDxfId="64"/>
    <tableColumn id="4" uniqueName="4" name="Column4" queryTableFieldId="4" dataDxfId="63"/>
    <tableColumn id="5" uniqueName="5" name="Column5" queryTableFieldId="5" dataDxfId="62"/>
    <tableColumn id="6" uniqueName="6" name="Column6" queryTableFieldId="6" dataDxfId="61"/>
    <tableColumn id="7" uniqueName="7" name="Column7" queryTableFieldId="7" dataDxfId="60"/>
    <tableColumn id="8" uniqueName="8" name="Column8" queryTableFieldId="8" dataDxfId="59"/>
    <tableColumn id="9" uniqueName="9" name="Column9" queryTableFieldId="9" dataDxfId="58"/>
    <tableColumn id="10" uniqueName="10" name="Column10" queryTableFieldId="10" dataDxfId="57"/>
    <tableColumn id="11" uniqueName="11" name="Column11" queryTableFieldId="11" dataDxfId="56"/>
    <tableColumn id="12" uniqueName="12" name="Column12" queryTableFieldId="12" dataDxfId="55"/>
    <tableColumn id="13" uniqueName="13" name="Column13" queryTableFieldId="13" dataDxfId="54"/>
    <tableColumn id="14" uniqueName="14" name="Column14" queryTableFieldId="14" dataDxfId="53"/>
    <tableColumn id="15" uniqueName="15" name="Column15" queryTableFieldId="15" dataDxfId="52"/>
    <tableColumn id="16" uniqueName="16" name="Column16" queryTableFieldId="16" dataDxfId="51"/>
    <tableColumn id="17" uniqueName="17" name="Column17" queryTableFieldId="17" dataDxfId="50"/>
    <tableColumn id="18" uniqueName="18" name="Column18" queryTableFieldId="18" dataDxfId="49"/>
    <tableColumn id="19" uniqueName="19" name="Column19" queryTableFieldId="19" dataDxfId="48"/>
    <tableColumn id="20" uniqueName="20" name="Column20" queryTableFieldId="20" dataDxfId="47"/>
    <tableColumn id="21" uniqueName="21" name="Column21" queryTableFieldId="21" dataDxfId="46"/>
    <tableColumn id="22" uniqueName="22" name="Column22" queryTableFieldId="22" dataDxfId="45"/>
    <tableColumn id="23" uniqueName="23" name="Column23" queryTableFieldId="23" dataDxfId="44"/>
    <tableColumn id="24" uniqueName="24" name="Column24" queryTableFieldId="24" dataDxfId="43"/>
    <tableColumn id="25" uniqueName="25" name="Column25" queryTableFieldId="25" dataDxfId="42"/>
    <tableColumn id="26" uniqueName="26" name="Column26" queryTableFieldId="26" dataDxfId="41"/>
    <tableColumn id="27" uniqueName="27" name="Column27" queryTableFieldId="27" dataDxfId="40"/>
    <tableColumn id="28" uniqueName="28" name="Column28" queryTableFieldId="28" dataDxfId="39"/>
    <tableColumn id="29" uniqueName="29" name="Column29" queryTableFieldId="29" dataDxfId="38"/>
    <tableColumn id="30" uniqueName="30" name="Column30" queryTableFieldId="30" dataDxfId="37"/>
    <tableColumn id="31" uniqueName="31" name="Column31" queryTableFieldId="31" dataDxfId="36"/>
    <tableColumn id="32" uniqueName="32" name="Column32" queryTableFieldId="32" dataDxfId="35"/>
    <tableColumn id="33" uniqueName="33" name="Column33" queryTableFieldId="33" dataDxfId="34"/>
    <tableColumn id="34" uniqueName="34" name="Column34" queryTableFieldId="34" dataDxfId="33"/>
    <tableColumn id="35" uniqueName="35" name="Column35" queryTableFieldId="35" dataDxfId="32"/>
    <tableColumn id="36" uniqueName="36" name="Column36" queryTableFieldId="36" dataDxfId="31"/>
    <tableColumn id="37" uniqueName="37" name="Column37" queryTableFieldId="37" dataDxfId="30"/>
    <tableColumn id="38" uniqueName="38" name="Column38" queryTableFieldId="38" dataDxfId="29"/>
    <tableColumn id="39" uniqueName="39" name="Column39" queryTableFieldId="39" dataDxfId="28"/>
    <tableColumn id="40" uniqueName="40" name="Column40" queryTableFieldId="40" dataDxfId="27"/>
    <tableColumn id="41" uniqueName="41" name="Column41" queryTableFieldId="41" dataDxfId="26"/>
    <tableColumn id="42" uniqueName="42" name="Column42" queryTableFieldId="42" dataDxfId="25"/>
    <tableColumn id="43" uniqueName="43" name="Column43" queryTableFieldId="43" dataDxfId="24"/>
    <tableColumn id="44" uniqueName="44" name="Column44" queryTableFieldId="44" dataDxfId="23"/>
    <tableColumn id="45" uniqueName="45" name="Column45" queryTableFieldId="45" dataDxfId="22"/>
    <tableColumn id="46" uniqueName="46" name="Column46" queryTableFieldId="46" dataDxfId="21"/>
    <tableColumn id="47" uniqueName="47" name="Column47" queryTableFieldId="47" dataDxfId="20"/>
    <tableColumn id="48" uniqueName="48" name="Column48" queryTableFieldId="48" dataDxfId="19"/>
    <tableColumn id="49" uniqueName="49" name="Column49" queryTableFieldId="49" dataDxfId="18"/>
    <tableColumn id="50" uniqueName="50" name="Column50" queryTableFieldId="50" dataDxfId="17"/>
    <tableColumn id="51" uniqueName="51" name="Column51" queryTableFieldId="51" dataDxfId="16"/>
    <tableColumn id="52" uniqueName="52" name="Column52" queryTableFieldId="52" dataDxfId="15"/>
    <tableColumn id="53" uniqueName="53" name="Column53" queryTableFieldId="53" dataDxfId="14"/>
    <tableColumn id="54" uniqueName="54" name="Column54" queryTableFieldId="54" dataDxfId="13"/>
    <tableColumn id="55" uniqueName="55" name="Column55" queryTableFieldId="55" dataDxfId="12"/>
    <tableColumn id="56" uniqueName="56" name="Column56" queryTableFieldId="56" dataDxfId="11"/>
    <tableColumn id="57" uniqueName="57" name="Column57" queryTableFieldId="57" dataDxfId="10"/>
    <tableColumn id="58" uniqueName="58" name="Column58" queryTableFieldId="58" dataDxfId="9"/>
    <tableColumn id="59" uniqueName="59" name="Column59" queryTableFieldId="59" dataDxfId="8"/>
    <tableColumn id="60" uniqueName="60" name="Column60" queryTableFieldId="60" dataDxfId="7"/>
    <tableColumn id="61" uniqueName="61" name="Column61" queryTableFieldId="61" dataDxfId="6"/>
    <tableColumn id="62" uniqueName="62" name="Column62" queryTableFieldId="62" dataDxfId="5"/>
    <tableColumn id="63" uniqueName="63" name="Column63" queryTableFieldId="63" dataDxfId="4"/>
    <tableColumn id="64" uniqueName="64" name="Column64" queryTableFieldId="64" dataDxfId="3"/>
    <tableColumn id="65" uniqueName="65" name="Column65" queryTableFieldId="65" dataDxfId="2"/>
    <tableColumn id="66" uniqueName="66" name="Column66" queryTableFieldId="66" dataDxfId="1"/>
    <tableColumn id="67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"/>
  <sheetViews>
    <sheetView tabSelected="1" topLeftCell="G1" workbookViewId="0">
      <selection activeCell="D28" sqref="D28"/>
    </sheetView>
  </sheetViews>
  <sheetFormatPr baseColWidth="8" defaultRowHeight="14.4"/>
  <cols>
    <col width="16.21875" bestFit="1" customWidth="1" min="1" max="1"/>
    <col width="14" bestFit="1" customWidth="1" min="2" max="2"/>
    <col width="10.6640625" bestFit="1" customWidth="1" min="3" max="3"/>
    <col width="44.21875" bestFit="1" customWidth="1" min="4" max="4"/>
    <col width="17.88671875" bestFit="1" customWidth="1" min="5" max="6"/>
    <col width="75" bestFit="1" customWidth="1" min="7" max="7"/>
    <col width="19.6640625" bestFit="1" customWidth="1" min="8" max="8"/>
    <col width="16.109375" bestFit="1" customWidth="1" min="9" max="9"/>
    <col width="18.77734375" bestFit="1" customWidth="1" min="10" max="10"/>
    <col width="18.109375" bestFit="1" customWidth="1" min="11" max="11"/>
    <col width="15.109375" bestFit="1" customWidth="1" min="12" max="12"/>
    <col width="19" bestFit="1" customWidth="1" min="13" max="13"/>
    <col width="19.6640625" bestFit="1" customWidth="1" min="14" max="14"/>
    <col width="20.77734375" bestFit="1" customWidth="1" min="15" max="15"/>
    <col width="11" bestFit="1" customWidth="1" min="16" max="16"/>
    <col width="13" bestFit="1" customWidth="1" min="17" max="17"/>
    <col width="21.109375" bestFit="1" customWidth="1" min="18" max="18"/>
    <col width="13.5546875" bestFit="1" customWidth="1" min="19" max="19"/>
    <col width="19" bestFit="1" customWidth="1" min="20" max="20"/>
    <col width="38.5546875" bestFit="1" customWidth="1" min="21" max="21"/>
    <col width="14.88671875" bestFit="1" customWidth="1" min="22" max="22"/>
    <col width="80.88671875" bestFit="1" customWidth="1" min="23" max="23"/>
    <col width="18.88671875" bestFit="1" customWidth="1" min="24" max="24"/>
    <col width="25.33203125" bestFit="1" customWidth="1" min="25" max="25"/>
    <col width="13.109375" bestFit="1" customWidth="1" min="26" max="26"/>
    <col width="11.6640625" bestFit="1" customWidth="1" min="27" max="30"/>
    <col width="11" bestFit="1" customWidth="1" min="31" max="31"/>
    <col width="13" bestFit="1" customWidth="1" min="32" max="32"/>
    <col width="21.109375" bestFit="1" customWidth="1" min="33" max="33"/>
  </cols>
  <sheetData>
    <row r="1">
      <c r="A1" t="inlineStr">
        <is>
          <t>ENCARREGADO</t>
        </is>
      </c>
      <c r="B1" t="inlineStr">
        <is>
          <t>SUPERVISOR</t>
        </is>
      </c>
      <c r="C1" t="inlineStr">
        <is>
          <t>PROJETO</t>
        </is>
      </c>
      <c r="D1" t="inlineStr">
        <is>
          <t>TITULO</t>
        </is>
      </c>
      <c r="E1" t="inlineStr">
        <is>
          <t>MUNICIPIO</t>
        </is>
      </c>
      <c r="F1" t="inlineStr">
        <is>
          <t>CRITÉRIO</t>
        </is>
      </c>
      <c r="G1" t="inlineStr">
        <is>
          <t>ANOTAÇÕES</t>
        </is>
      </c>
      <c r="H1" t="inlineStr">
        <is>
          <t>POSTES PREVISTOS</t>
        </is>
      </c>
      <c r="I1" t="inlineStr">
        <is>
          <t>DATA DE INICIO</t>
        </is>
      </c>
      <c r="J1" t="inlineStr">
        <is>
          <t>DATA CONCLUSÃO</t>
        </is>
      </c>
      <c r="K1" t="inlineStr">
        <is>
          <t>OBRA DA SEMANA</t>
        </is>
      </c>
      <c r="L1" t="inlineStr">
        <is>
          <t>NECESSIDADE</t>
        </is>
      </c>
      <c r="M1" t="inlineStr">
        <is>
          <t>PROGRAMAÇÃO LV</t>
        </is>
      </c>
      <c r="N1" t="inlineStr">
        <is>
          <t>CAVAS REALIZADAS</t>
        </is>
      </c>
      <c r="O1" t="inlineStr">
        <is>
          <t>POSTES REALIZADOS</t>
        </is>
      </c>
      <c r="P1" t="inlineStr">
        <is>
          <t>LATITUDE</t>
        </is>
      </c>
      <c r="Q1" t="inlineStr">
        <is>
          <t>LONGITUDE</t>
        </is>
      </c>
      <c r="R1" t="inlineStr">
        <is>
          <t>CLIENTES PREVISTOS</t>
        </is>
      </c>
      <c r="S1" t="inlineStr">
        <is>
          <t>PROJETO KIT</t>
        </is>
      </c>
      <c r="T1" t="inlineStr">
        <is>
          <t>PROJETO MEDIDOR</t>
        </is>
      </c>
      <c r="U1" t="inlineStr">
        <is>
          <t>AR COELBA</t>
        </is>
      </c>
      <c r="V1" t="inlineStr">
        <is>
          <t>VISITA PRÉVIA</t>
        </is>
      </c>
      <c r="W1" t="inlineStr">
        <is>
          <t>OBSERVAÇÃO DA VISITA</t>
        </is>
      </c>
      <c r="X1" t="inlineStr">
        <is>
          <t>ANÁLISE PRÉ FECH</t>
        </is>
      </c>
      <c r="Y1" t="inlineStr">
        <is>
          <t>SOLICITAÇÃO DE RESERVA</t>
        </is>
      </c>
    </row>
    <row r="2">
      <c r="A2" t="inlineStr">
        <is>
          <t>ALEX SANDRO</t>
        </is>
      </c>
      <c r="B2" t="inlineStr">
        <is>
          <t>DJALMA</t>
        </is>
      </c>
      <c r="C2" t="inlineStr">
        <is>
          <t>B-1214123</t>
        </is>
      </c>
      <c r="D2" t="inlineStr">
        <is>
          <t>IP-SEIN-RUA-JOAO DOURADO-NOVO CANAL</t>
        </is>
      </c>
      <c r="E2" t="inlineStr">
        <is>
          <t>JOÃO DOURADO</t>
        </is>
      </c>
      <c r="F2" t="inlineStr">
        <is>
          <t>GOVERNO</t>
        </is>
      </c>
      <c r="G2" t="inlineStr">
        <is>
          <t>OBRA DE INFLAESTRUTURA IP - CAVA EM ROCHA</t>
        </is>
      </c>
      <c r="H2" t="inlineStr">
        <is>
          <t>54</t>
        </is>
      </c>
      <c r="I2" t="inlineStr">
        <is>
          <t>03/11/2025</t>
        </is>
      </c>
      <c r="J2" t="inlineStr">
        <is>
          <t>30/11/2025</t>
        </is>
      </c>
      <c r="K2" t="inlineStr">
        <is>
          <t>ATUANDO</t>
        </is>
      </c>
      <c r="L2" t="inlineStr">
        <is>
          <t>DESCARGA/IMPLANTAÇÃO</t>
        </is>
      </c>
      <c r="N2" t="inlineStr">
        <is>
          <t>39</t>
        </is>
      </c>
      <c r="O2" t="inlineStr">
        <is>
          <t>36</t>
        </is>
      </c>
      <c r="P2">
        <f>VLOOKUP(pub?gid_1064752002_single_true_output_csv[[#This Row],[PROJETO]],UTDNOVEMBRO!B:AQ,42,FALSE)</f>
        <v/>
      </c>
      <c r="Q2">
        <f>VLOOKUP(pub?gid_1064752002_single_true_output_csv[[#This Row],[PROJETO]],UTDNOVEMBRO!B:AR,43,FALSE)</f>
        <v/>
      </c>
      <c r="R2">
        <f>VLOOKUP(pub?gid_1064752002_single_true_output_csv[[#This Row],[PROJETO]],UTDNOVEMBRO!B:AC,28,FALSE)</f>
        <v/>
      </c>
      <c r="S2">
        <f>VLOOKUP(pub?gid_1064752002_single_true_output_csv[[#This Row],[PROJETO]],UTDNOVEMBRO!B:C,2,FALSE)</f>
        <v/>
      </c>
      <c r="T2">
        <f>VLOOKUP(pub?gid_1064752002_single_true_output_csv[[#This Row],[PROJETO]],UTDNOVEMBRO!B:D,3,FALSE)</f>
        <v/>
      </c>
      <c r="U2">
        <f>VLOOKUP(pub?gid_1064752002_single_true_output_csv[[#This Row],[PROJETO]],UTDNOVEMBRO!B:K,10,FALSE)</f>
        <v/>
      </c>
      <c r="V2">
        <f>VLOOKUP(pub?gid_1064752002_single_true_output_csv[[#This Row],[PROJETO]],UTDNOVEMBRO!B:N,13,FALSE)</f>
        <v/>
      </c>
      <c r="W2">
        <f>VLOOKUP(pub?gid_1064752002_single_true_output_csv[[#This Row],[PROJETO]],UTDNOVEMBRO!B:O,14,FALSE)</f>
        <v/>
      </c>
      <c r="X2">
        <f>VLOOKUP(pub?gid_1064752002_single_true_output_csv[[#This Row],[PROJETO]],UTDNOVEMBRO!B:P,15,FALSE)</f>
        <v/>
      </c>
      <c r="Y2">
        <f>VLOOKUP(pub?gid_1064752002_single_true_output_csv[[#This Row],[PROJETO]],UTDNOVEMBRO!B:Q,16,FALSE)</f>
        <v/>
      </c>
    </row>
    <row r="3">
      <c r="A3" t="inlineStr">
        <is>
          <t>IRISMAR</t>
        </is>
      </c>
      <c r="B3" t="inlineStr">
        <is>
          <t>HIAGO</t>
        </is>
      </c>
      <c r="C3" t="inlineStr">
        <is>
          <t>B-1228719</t>
        </is>
      </c>
      <c r="D3" t="inlineStr">
        <is>
          <t>AC-CIND-POV-MORRINHO DE ARTURZINHO-RURAL</t>
        </is>
      </c>
      <c r="E3" t="inlineStr">
        <is>
          <t>CANARANA</t>
        </is>
      </c>
      <c r="F3" t="inlineStr">
        <is>
          <t>QLP</t>
        </is>
      </c>
      <c r="G3" t="inlineStr">
        <is>
          <t>ENERGIZADA</t>
        </is>
      </c>
      <c r="H3" t="inlineStr">
        <is>
          <t>1</t>
        </is>
      </c>
      <c r="I3" t="inlineStr">
        <is>
          <t>03/11/2025</t>
        </is>
      </c>
      <c r="J3" t="inlineStr">
        <is>
          <t>03/11/2025</t>
        </is>
      </c>
      <c r="K3" t="inlineStr">
        <is>
          <t>ENERGIZADA</t>
        </is>
      </c>
      <c r="L3" t="inlineStr">
        <is>
          <t>LV</t>
        </is>
      </c>
      <c r="M3" t="inlineStr">
        <is>
          <t>REALIZADO</t>
        </is>
      </c>
      <c r="N3" t="inlineStr">
        <is>
          <t>1</t>
        </is>
      </c>
      <c r="O3" t="inlineStr">
        <is>
          <t>1</t>
        </is>
      </c>
      <c r="P3">
        <f>VLOOKUP(pub?gid_1064752002_single_true_output_csv[[#This Row],[PROJETO]],UTDNOVEMBRO!B:AQ,42,FALSE)</f>
        <v/>
      </c>
      <c r="Q3">
        <f>VLOOKUP(pub?gid_1064752002_single_true_output_csv[[#This Row],[PROJETO]],UTDNOVEMBRO!B:AR,43,FALSE)</f>
        <v/>
      </c>
      <c r="R3">
        <f>VLOOKUP(pub?gid_1064752002_single_true_output_csv[[#This Row],[PROJETO]],UTDNOVEMBRO!B:AC,28,FALSE)</f>
        <v/>
      </c>
      <c r="S3">
        <f>VLOOKUP(pub?gid_1064752002_single_true_output_csv[[#This Row],[PROJETO]],UTDNOVEMBRO!B:C,2,FALSE)</f>
        <v/>
      </c>
      <c r="T3">
        <f>VLOOKUP(pub?gid_1064752002_single_true_output_csv[[#This Row],[PROJETO]],UTDNOVEMBRO!B:D,3,FALSE)</f>
        <v/>
      </c>
      <c r="U3">
        <f>VLOOKUP(pub?gid_1064752002_single_true_output_csv[[#This Row],[PROJETO]],UTDNOVEMBRO!B:K,10,FALSE)</f>
        <v/>
      </c>
      <c r="V3">
        <f>VLOOKUP(pub?gid_1064752002_single_true_output_csv[[#This Row],[PROJETO]],UTDNOVEMBRO!B:N,13,FALSE)</f>
        <v/>
      </c>
      <c r="W3">
        <f>VLOOKUP(pub?gid_1064752002_single_true_output_csv[[#This Row],[PROJETO]],UTDNOVEMBRO!B:O,14,FALSE)</f>
        <v/>
      </c>
      <c r="X3">
        <f>VLOOKUP(pub?gid_1064752002_single_true_output_csv[[#This Row],[PROJETO]],UTDNOVEMBRO!B:P,15,FALSE)</f>
        <v/>
      </c>
      <c r="Y3">
        <f>VLOOKUP(pub?gid_1064752002_single_true_output_csv[[#This Row],[PROJETO]],UTDNOVEMBRO!B:Q,16,FALSE)</f>
        <v/>
      </c>
    </row>
    <row r="4">
      <c r="A4" t="inlineStr">
        <is>
          <t>JAILSON</t>
        </is>
      </c>
      <c r="B4" t="inlineStr">
        <is>
          <t>HIAGO</t>
        </is>
      </c>
      <c r="C4" t="inlineStr">
        <is>
          <t>B-1206961</t>
        </is>
      </c>
      <c r="D4" t="inlineStr">
        <is>
          <t>ER-CIND-POV-CAMPO FORMOSO-RURAL</t>
        </is>
      </c>
      <c r="E4" t="inlineStr">
        <is>
          <t>BARRO ALTO</t>
        </is>
      </c>
      <c r="F4" t="inlineStr">
        <is>
          <t>QLP</t>
        </is>
      </c>
      <c r="G4" t="inlineStr">
        <is>
          <t>DP 11/11  - ADF</t>
        </is>
      </c>
      <c r="H4" t="inlineStr">
        <is>
          <t>10</t>
        </is>
      </c>
      <c r="I4" t="inlineStr">
        <is>
          <t>03/11/2025</t>
        </is>
      </c>
      <c r="J4" t="inlineStr">
        <is>
          <t>11/11/2025</t>
        </is>
      </c>
      <c r="K4" t="inlineStr">
        <is>
          <t>ATUANDO</t>
        </is>
      </c>
      <c r="L4" t="inlineStr">
        <is>
          <t>CAVA COM RETRO</t>
        </is>
      </c>
      <c r="M4" t="inlineStr">
        <is>
          <t>REALIZADO</t>
        </is>
      </c>
      <c r="N4" t="inlineStr">
        <is>
          <t>10</t>
        </is>
      </c>
      <c r="O4" t="inlineStr">
        <is>
          <t>9</t>
        </is>
      </c>
      <c r="P4">
        <f>VLOOKUP(pub?gid_1064752002_single_true_output_csv[[#This Row],[PROJETO]],UTDNOVEMBRO!B:AQ,42,FALSE)</f>
        <v/>
      </c>
      <c r="Q4">
        <f>VLOOKUP(pub?gid_1064752002_single_true_output_csv[[#This Row],[PROJETO]],UTDNOVEMBRO!B:AR,43,FALSE)</f>
        <v/>
      </c>
      <c r="R4">
        <f>VLOOKUP(pub?gid_1064752002_single_true_output_csv[[#This Row],[PROJETO]],UTDNOVEMBRO!B:AC,28,FALSE)</f>
        <v/>
      </c>
      <c r="S4">
        <f>VLOOKUP(pub?gid_1064752002_single_true_output_csv[[#This Row],[PROJETO]],UTDNOVEMBRO!B:C,2,FALSE)</f>
        <v/>
      </c>
      <c r="T4">
        <f>VLOOKUP(pub?gid_1064752002_single_true_output_csv[[#This Row],[PROJETO]],UTDNOVEMBRO!B:D,3,FALSE)</f>
        <v/>
      </c>
      <c r="U4">
        <f>VLOOKUP(pub?gid_1064752002_single_true_output_csv[[#This Row],[PROJETO]],UTDNOVEMBRO!B:K,10,FALSE)</f>
        <v/>
      </c>
      <c r="V4">
        <f>VLOOKUP(pub?gid_1064752002_single_true_output_csv[[#This Row],[PROJETO]],UTDNOVEMBRO!B:N,13,FALSE)</f>
        <v/>
      </c>
      <c r="W4">
        <f>VLOOKUP(pub?gid_1064752002_single_true_output_csv[[#This Row],[PROJETO]],UTDNOVEMBRO!B:O,14,FALSE)</f>
        <v/>
      </c>
      <c r="X4">
        <f>VLOOKUP(pub?gid_1064752002_single_true_output_csv[[#This Row],[PROJETO]],UTDNOVEMBRO!B:P,15,FALSE)</f>
        <v/>
      </c>
      <c r="Y4">
        <f>VLOOKUP(pub?gid_1064752002_single_true_output_csv[[#This Row],[PROJETO]],UTDNOVEMBRO!B:Q,16,FALSE)</f>
        <v/>
      </c>
    </row>
    <row r="5">
      <c r="A5" t="inlineStr">
        <is>
          <t>IRISMAR</t>
        </is>
      </c>
      <c r="B5" t="inlineStr">
        <is>
          <t>HIAGO</t>
        </is>
      </c>
      <c r="C5" t="inlineStr">
        <is>
          <t>B-1232945</t>
        </is>
      </c>
      <c r="D5" t="inlineStr">
        <is>
          <t>ER-CIND-POV-ALEIXO-RURAL</t>
        </is>
      </c>
      <c r="E5" t="inlineStr">
        <is>
          <t>IBIPEBA</t>
        </is>
      </c>
      <c r="F5" t="inlineStr">
        <is>
          <t>JUDICIAL</t>
        </is>
      </c>
      <c r="G5" t="inlineStr">
        <is>
          <t>ENERGIZADA</t>
        </is>
      </c>
      <c r="H5" t="inlineStr">
        <is>
          <t>8</t>
        </is>
      </c>
      <c r="I5" t="inlineStr">
        <is>
          <t>05/11/2025</t>
        </is>
      </c>
      <c r="J5" t="inlineStr">
        <is>
          <t>06/11/2025</t>
        </is>
      </c>
      <c r="K5" t="inlineStr">
        <is>
          <t>ENERGIZADA</t>
        </is>
      </c>
      <c r="N5" t="inlineStr">
        <is>
          <t>4</t>
        </is>
      </c>
      <c r="O5" t="inlineStr">
        <is>
          <t>8</t>
        </is>
      </c>
      <c r="P5">
        <f>VLOOKUP(pub?gid_1064752002_single_true_output_csv[[#This Row],[PROJETO]],UTDNOVEMBRO!B:AQ,42,FALSE)</f>
        <v/>
      </c>
      <c r="Q5">
        <f>VLOOKUP(pub?gid_1064752002_single_true_output_csv[[#This Row],[PROJETO]],UTDNOVEMBRO!B:AR,43,FALSE)</f>
        <v/>
      </c>
      <c r="R5">
        <f>VLOOKUP(pub?gid_1064752002_single_true_output_csv[[#This Row],[PROJETO]],UTDNOVEMBRO!B:AC,28,FALSE)</f>
        <v/>
      </c>
      <c r="S5">
        <f>VLOOKUP(pub?gid_1064752002_single_true_output_csv[[#This Row],[PROJETO]],UTDNOVEMBRO!B:C,2,FALSE)</f>
        <v/>
      </c>
      <c r="T5">
        <f>VLOOKUP(pub?gid_1064752002_single_true_output_csv[[#This Row],[PROJETO]],UTDNOVEMBRO!B:D,3,FALSE)</f>
        <v/>
      </c>
      <c r="U5">
        <f>VLOOKUP(pub?gid_1064752002_single_true_output_csv[[#This Row],[PROJETO]],UTDNOVEMBRO!B:K,10,FALSE)</f>
        <v/>
      </c>
      <c r="V5">
        <f>VLOOKUP(pub?gid_1064752002_single_true_output_csv[[#This Row],[PROJETO]],UTDNOVEMBRO!B:N,13,FALSE)</f>
        <v/>
      </c>
      <c r="W5">
        <f>VLOOKUP(pub?gid_1064752002_single_true_output_csv[[#This Row],[PROJETO]],UTDNOVEMBRO!B:O,14,FALSE)</f>
        <v/>
      </c>
      <c r="X5">
        <f>VLOOKUP(pub?gid_1064752002_single_true_output_csv[[#This Row],[PROJETO]],UTDNOVEMBRO!B:P,15,FALSE)</f>
        <v/>
      </c>
      <c r="Y5">
        <f>VLOOKUP(pub?gid_1064752002_single_true_output_csv[[#This Row],[PROJETO]],UTDNOVEMBRO!B:Q,16,FALSE)</f>
        <v/>
      </c>
    </row>
    <row r="6">
      <c r="A6" t="inlineStr">
        <is>
          <t>ALAN</t>
        </is>
      </c>
      <c r="B6" t="inlineStr">
        <is>
          <t>DJALMA</t>
        </is>
      </c>
      <c r="C6" t="inlineStr">
        <is>
          <t>B-1099615</t>
        </is>
      </c>
      <c r="D6" t="inlineStr">
        <is>
          <t>ER-CIND-POV-PREVINIDO-RURAL</t>
        </is>
      </c>
      <c r="E6" t="inlineStr">
        <is>
          <t>AMÉRICA DOURADA</t>
        </is>
      </c>
      <c r="F6" t="inlineStr">
        <is>
          <t>REPUTACIONAL</t>
        </is>
      </c>
      <c r="G6" t="inlineStr">
        <is>
          <t>ENERGIZADA</t>
        </is>
      </c>
      <c r="H6" t="inlineStr">
        <is>
          <t>4</t>
        </is>
      </c>
      <c r="I6" t="inlineStr">
        <is>
          <t>03/11/2025</t>
        </is>
      </c>
      <c r="J6" t="inlineStr">
        <is>
          <t>04/11/2025</t>
        </is>
      </c>
      <c r="K6" t="inlineStr">
        <is>
          <t>ENERGIZADA</t>
        </is>
      </c>
      <c r="L6" t="inlineStr">
        <is>
          <t>LV</t>
        </is>
      </c>
      <c r="M6" t="inlineStr">
        <is>
          <t>REALIZADO</t>
        </is>
      </c>
      <c r="N6" t="inlineStr">
        <is>
          <t>4</t>
        </is>
      </c>
      <c r="O6" t="inlineStr">
        <is>
          <t>4</t>
        </is>
      </c>
      <c r="P6">
        <f>VLOOKUP(pub?gid_1064752002_single_true_output_csv[[#This Row],[PROJETO]],UTDNOVEMBRO!B:AQ,42,FALSE)</f>
        <v/>
      </c>
      <c r="Q6">
        <f>VLOOKUP(pub?gid_1064752002_single_true_output_csv[[#This Row],[PROJETO]],UTDNOVEMBRO!B:AR,43,FALSE)</f>
        <v/>
      </c>
      <c r="R6">
        <f>VLOOKUP(pub?gid_1064752002_single_true_output_csv[[#This Row],[PROJETO]],UTDNOVEMBRO!B:AC,28,FALSE)</f>
        <v/>
      </c>
      <c r="S6">
        <f>VLOOKUP(pub?gid_1064752002_single_true_output_csv[[#This Row],[PROJETO]],UTDNOVEMBRO!B:C,2,FALSE)</f>
        <v/>
      </c>
      <c r="T6">
        <f>VLOOKUP(pub?gid_1064752002_single_true_output_csv[[#This Row],[PROJETO]],UTDNOVEMBRO!B:D,3,FALSE)</f>
        <v/>
      </c>
      <c r="U6">
        <f>VLOOKUP(pub?gid_1064752002_single_true_output_csv[[#This Row],[PROJETO]],UTDNOVEMBRO!B:K,10,FALSE)</f>
        <v/>
      </c>
      <c r="V6">
        <f>VLOOKUP(pub?gid_1064752002_single_true_output_csv[[#This Row],[PROJETO]],UTDNOVEMBRO!B:N,13,FALSE)</f>
        <v/>
      </c>
      <c r="W6">
        <f>VLOOKUP(pub?gid_1064752002_single_true_output_csv[[#This Row],[PROJETO]],UTDNOVEMBRO!B:O,14,FALSE)</f>
        <v/>
      </c>
      <c r="X6">
        <f>VLOOKUP(pub?gid_1064752002_single_true_output_csv[[#This Row],[PROJETO]],UTDNOVEMBRO!B:P,15,FALSE)</f>
        <v/>
      </c>
      <c r="Y6">
        <f>VLOOKUP(pub?gid_1064752002_single_true_output_csv[[#This Row],[PROJETO]],UTDNOVEMBRO!B:Q,16,FALSE)</f>
        <v/>
      </c>
    </row>
    <row r="7">
      <c r="A7" t="inlineStr">
        <is>
          <t>MARCOS PAULO</t>
        </is>
      </c>
      <c r="B7" t="inlineStr">
        <is>
          <t>HIAGO</t>
        </is>
      </c>
      <c r="C7" t="inlineStr">
        <is>
          <t>B-1156355</t>
        </is>
      </c>
      <c r="D7" t="inlineStr">
        <is>
          <t>MP CIND POV DE CEDRO RURAL</t>
        </is>
      </c>
      <c r="E7" t="inlineStr">
        <is>
          <t>GENTIO DO OURO</t>
        </is>
      </c>
      <c r="F7" t="inlineStr">
        <is>
          <t>QLP</t>
        </is>
      </c>
      <c r="G7" t="inlineStr">
        <is>
          <t>DP 12/11 -  N3 PARA N4 EM POSTE EXISTENTE EM REDE 3x04 13,8Kv</t>
        </is>
      </c>
      <c r="H7" t="inlineStr">
        <is>
          <t>15</t>
        </is>
      </c>
      <c r="I7" t="inlineStr">
        <is>
          <t>03/11/2025</t>
        </is>
      </c>
      <c r="J7" t="inlineStr">
        <is>
          <t>10/11/2025</t>
        </is>
      </c>
      <c r="K7" t="inlineStr">
        <is>
          <t>ATUANDO</t>
        </is>
      </c>
      <c r="L7" t="inlineStr">
        <is>
          <t>INSTALAÇÃO DE ESTRUTURA</t>
        </is>
      </c>
      <c r="M7" t="inlineStr">
        <is>
          <t>12/11/2025</t>
        </is>
      </c>
      <c r="N7" t="inlineStr">
        <is>
          <t>15</t>
        </is>
      </c>
      <c r="O7" t="inlineStr">
        <is>
          <t>10</t>
        </is>
      </c>
      <c r="P7">
        <f>VLOOKUP(pub?gid_1064752002_single_true_output_csv[[#This Row],[PROJETO]],UTDNOVEMBRO!B:AQ,42,FALSE)</f>
        <v/>
      </c>
      <c r="Q7">
        <f>VLOOKUP(pub?gid_1064752002_single_true_output_csv[[#This Row],[PROJETO]],UTDNOVEMBRO!B:AR,43,FALSE)</f>
        <v/>
      </c>
      <c r="R7">
        <f>VLOOKUP(pub?gid_1064752002_single_true_output_csv[[#This Row],[PROJETO]],UTDNOVEMBRO!B:AC,28,FALSE)</f>
        <v/>
      </c>
      <c r="S7">
        <f>VLOOKUP(pub?gid_1064752002_single_true_output_csv[[#This Row],[PROJETO]],UTDNOVEMBRO!B:C,2,FALSE)</f>
        <v/>
      </c>
      <c r="T7">
        <f>VLOOKUP(pub?gid_1064752002_single_true_output_csv[[#This Row],[PROJETO]],UTDNOVEMBRO!B:D,3,FALSE)</f>
        <v/>
      </c>
      <c r="U7">
        <f>VLOOKUP(pub?gid_1064752002_single_true_output_csv[[#This Row],[PROJETO]],UTDNOVEMBRO!B:K,10,FALSE)</f>
        <v/>
      </c>
      <c r="V7">
        <f>VLOOKUP(pub?gid_1064752002_single_true_output_csv[[#This Row],[PROJETO]],UTDNOVEMBRO!B:N,13,FALSE)</f>
        <v/>
      </c>
      <c r="W7">
        <f>VLOOKUP(pub?gid_1064752002_single_true_output_csv[[#This Row],[PROJETO]],UTDNOVEMBRO!B:O,14,FALSE)</f>
        <v/>
      </c>
      <c r="X7">
        <f>VLOOKUP(pub?gid_1064752002_single_true_output_csv[[#This Row],[PROJETO]],UTDNOVEMBRO!B:P,15,FALSE)</f>
        <v/>
      </c>
      <c r="Y7">
        <f>VLOOKUP(pub?gid_1064752002_single_true_output_csv[[#This Row],[PROJETO]],UTDNOVEMBRO!B:Q,16,FALSE)</f>
        <v/>
      </c>
    </row>
    <row r="8">
      <c r="A8" t="inlineStr">
        <is>
          <t>EDILSON</t>
        </is>
      </c>
      <c r="B8" t="inlineStr">
        <is>
          <t>DJALMA</t>
        </is>
      </c>
      <c r="C8" t="inlineStr">
        <is>
          <t>B-1227493</t>
        </is>
      </c>
      <c r="D8" t="inlineStr">
        <is>
          <t>ER-CIND-FAZ-S O JORGE-SOARES</t>
        </is>
      </c>
      <c r="E8" t="inlineStr">
        <is>
          <t>AMÉRICA DOURADA</t>
        </is>
      </c>
      <c r="F8" t="inlineStr">
        <is>
          <t>QLP</t>
        </is>
      </c>
      <c r="G8" t="inlineStr">
        <is>
          <t>DP 18/11 - ADF INTERCALAR POSTE 12/600 N1 TT COM TR 30KvA EM REDE 3X04 13,8Kv</t>
        </is>
      </c>
      <c r="H8" t="inlineStr">
        <is>
          <t>8</t>
        </is>
      </c>
      <c r="I8" t="inlineStr">
        <is>
          <t>13/11/2025</t>
        </is>
      </c>
      <c r="J8" t="inlineStr">
        <is>
          <t>18/11/2025</t>
        </is>
      </c>
      <c r="K8" t="inlineStr">
        <is>
          <t>PROGRAMADA</t>
        </is>
      </c>
      <c r="L8" t="inlineStr">
        <is>
          <t>DP</t>
        </is>
      </c>
      <c r="N8" t="inlineStr">
        <is>
          <t>0</t>
        </is>
      </c>
      <c r="O8" t="inlineStr">
        <is>
          <t>0</t>
        </is>
      </c>
      <c r="P8">
        <f>VLOOKUP(pub?gid_1064752002_single_true_output_csv[[#This Row],[PROJETO]],UTDNOVEMBRO!B:AQ,42,FALSE)</f>
        <v/>
      </c>
      <c r="Q8">
        <f>VLOOKUP(pub?gid_1064752002_single_true_output_csv[[#This Row],[PROJETO]],UTDNOVEMBRO!B:AR,43,FALSE)</f>
        <v/>
      </c>
      <c r="R8">
        <f>VLOOKUP(pub?gid_1064752002_single_true_output_csv[[#This Row],[PROJETO]],UTDNOVEMBRO!B:AC,28,FALSE)</f>
        <v/>
      </c>
      <c r="S8">
        <f>VLOOKUP(pub?gid_1064752002_single_true_output_csv[[#This Row],[PROJETO]],UTDNOVEMBRO!B:C,2,FALSE)</f>
        <v/>
      </c>
      <c r="T8">
        <f>VLOOKUP(pub?gid_1064752002_single_true_output_csv[[#This Row],[PROJETO]],UTDNOVEMBRO!B:D,3,FALSE)</f>
        <v/>
      </c>
      <c r="U8">
        <f>VLOOKUP(pub?gid_1064752002_single_true_output_csv[[#This Row],[PROJETO]],UTDNOVEMBRO!B:K,10,FALSE)</f>
        <v/>
      </c>
      <c r="V8">
        <f>VLOOKUP(pub?gid_1064752002_single_true_output_csv[[#This Row],[PROJETO]],UTDNOVEMBRO!B:N,13,FALSE)</f>
        <v/>
      </c>
      <c r="W8">
        <f>VLOOKUP(pub?gid_1064752002_single_true_output_csv[[#This Row],[PROJETO]],UTDNOVEMBRO!B:O,14,FALSE)</f>
        <v/>
      </c>
      <c r="X8">
        <f>VLOOKUP(pub?gid_1064752002_single_true_output_csv[[#This Row],[PROJETO]],UTDNOVEMBRO!B:P,15,FALSE)</f>
        <v/>
      </c>
      <c r="Y8">
        <f>VLOOKUP(pub?gid_1064752002_single_true_output_csv[[#This Row],[PROJETO]],UTDNOVEMBRO!B:Q,16,FALSE)</f>
        <v/>
      </c>
    </row>
    <row r="9">
      <c r="A9" t="inlineStr">
        <is>
          <t>IRISMAR</t>
        </is>
      </c>
      <c r="B9" t="inlineStr">
        <is>
          <t>HIAGO</t>
        </is>
      </c>
      <c r="C9" t="inlineStr">
        <is>
          <t>B-1152082</t>
        </is>
      </c>
      <c r="D9" t="inlineStr">
        <is>
          <t>AC - CIND POV ACHADO - RURAL</t>
        </is>
      </c>
      <c r="E9" t="inlineStr">
        <is>
          <t>BARRO ALTO</t>
        </is>
      </c>
      <c r="F9" t="inlineStr">
        <is>
          <t>QLP</t>
        </is>
      </c>
      <c r="G9" t="inlineStr">
        <is>
          <t>DP 13/11 - ADF MT</t>
        </is>
      </c>
      <c r="H9" t="inlineStr">
        <is>
          <t>3</t>
        </is>
      </c>
      <c r="I9" t="inlineStr">
        <is>
          <t>12/11/2025</t>
        </is>
      </c>
      <c r="J9" t="inlineStr">
        <is>
          <t>13/11/2025</t>
        </is>
      </c>
      <c r="K9" t="inlineStr">
        <is>
          <t>PROGRAMADA</t>
        </is>
      </c>
      <c r="L9" t="inlineStr">
        <is>
          <t>DP/LV</t>
        </is>
      </c>
      <c r="M9" t="inlineStr">
        <is>
          <t>13/11/2025</t>
        </is>
      </c>
      <c r="N9" t="inlineStr">
        <is>
          <t>3</t>
        </is>
      </c>
      <c r="O9" t="inlineStr">
        <is>
          <t>0</t>
        </is>
      </c>
      <c r="P9">
        <f>VLOOKUP(pub?gid_1064752002_single_true_output_csv[[#This Row],[PROJETO]],UTDNOVEMBRO!B:AQ,42,FALSE)</f>
        <v/>
      </c>
      <c r="Q9">
        <f>VLOOKUP(pub?gid_1064752002_single_true_output_csv[[#This Row],[PROJETO]],UTDNOVEMBRO!B:AR,43,FALSE)</f>
        <v/>
      </c>
      <c r="R9">
        <f>VLOOKUP(pub?gid_1064752002_single_true_output_csv[[#This Row],[PROJETO]],UTDNOVEMBRO!B:AC,28,FALSE)</f>
        <v/>
      </c>
      <c r="S9">
        <f>VLOOKUP(pub?gid_1064752002_single_true_output_csv[[#This Row],[PROJETO]],UTDNOVEMBRO!B:C,2,FALSE)</f>
        <v/>
      </c>
      <c r="T9">
        <f>VLOOKUP(pub?gid_1064752002_single_true_output_csv[[#This Row],[PROJETO]],UTDNOVEMBRO!B:D,3,FALSE)</f>
        <v/>
      </c>
      <c r="U9">
        <f>VLOOKUP(pub?gid_1064752002_single_true_output_csv[[#This Row],[PROJETO]],UTDNOVEMBRO!B:K,10,FALSE)</f>
        <v/>
      </c>
      <c r="V9">
        <f>VLOOKUP(pub?gid_1064752002_single_true_output_csv[[#This Row],[PROJETO]],UTDNOVEMBRO!B:N,13,FALSE)</f>
        <v/>
      </c>
      <c r="W9">
        <f>VLOOKUP(pub?gid_1064752002_single_true_output_csv[[#This Row],[PROJETO]],UTDNOVEMBRO!B:O,14,FALSE)</f>
        <v/>
      </c>
      <c r="X9">
        <f>VLOOKUP(pub?gid_1064752002_single_true_output_csv[[#This Row],[PROJETO]],UTDNOVEMBRO!B:P,15,FALSE)</f>
        <v/>
      </c>
      <c r="Y9">
        <f>VLOOKUP(pub?gid_1064752002_single_true_output_csv[[#This Row],[PROJETO]],UTDNOVEMBRO!B:Q,16,FALSE)</f>
        <v/>
      </c>
    </row>
    <row r="10">
      <c r="A10" t="inlineStr">
        <is>
          <t>VANILSON</t>
        </is>
      </c>
      <c r="B10" t="inlineStr">
        <is>
          <t>DJALMA</t>
        </is>
      </c>
      <c r="C10" t="inlineStr">
        <is>
          <t>B-1218109</t>
        </is>
      </c>
      <c r="D10" t="inlineStr">
        <is>
          <t>ER-CIND-POV-FLORESTA IRINEUS-RURAL</t>
        </is>
      </c>
      <c r="E10" t="inlineStr">
        <is>
          <t>JOÃO DOURADO</t>
        </is>
      </c>
      <c r="F10" t="inlineStr">
        <is>
          <t>QLP</t>
        </is>
      </c>
      <c r="G10" t="inlineStr">
        <is>
          <t>N3 PRA N4 EM POSTE EXISTENTE EM REDE 2X04 13,8Kv</t>
        </is>
      </c>
      <c r="H10" t="inlineStr">
        <is>
          <t>19</t>
        </is>
      </c>
      <c r="I10" t="inlineStr">
        <is>
          <t>03/11/2025</t>
        </is>
      </c>
      <c r="J10" t="inlineStr">
        <is>
          <t>12/11/2025</t>
        </is>
      </c>
      <c r="K10" t="inlineStr">
        <is>
          <t>ATUANDO</t>
        </is>
      </c>
      <c r="L10" t="inlineStr">
        <is>
          <t>LV</t>
        </is>
      </c>
      <c r="N10" t="inlineStr">
        <is>
          <t>15</t>
        </is>
      </c>
      <c r="O10" t="inlineStr">
        <is>
          <t>14</t>
        </is>
      </c>
      <c r="P10">
        <f>VLOOKUP(pub?gid_1064752002_single_true_output_csv[[#This Row],[PROJETO]],UTDNOVEMBRO!B:AQ,42,FALSE)</f>
        <v/>
      </c>
      <c r="Q10">
        <f>VLOOKUP(pub?gid_1064752002_single_true_output_csv[[#This Row],[PROJETO]],UTDNOVEMBRO!B:AR,43,FALSE)</f>
        <v/>
      </c>
      <c r="R10">
        <f>VLOOKUP(pub?gid_1064752002_single_true_output_csv[[#This Row],[PROJETO]],UTDNOVEMBRO!B:AC,28,FALSE)</f>
        <v/>
      </c>
      <c r="S10">
        <f>VLOOKUP(pub?gid_1064752002_single_true_output_csv[[#This Row],[PROJETO]],UTDNOVEMBRO!B:C,2,FALSE)</f>
        <v/>
      </c>
      <c r="T10">
        <f>VLOOKUP(pub?gid_1064752002_single_true_output_csv[[#This Row],[PROJETO]],UTDNOVEMBRO!B:D,3,FALSE)</f>
        <v/>
      </c>
      <c r="U10">
        <f>VLOOKUP(pub?gid_1064752002_single_true_output_csv[[#This Row],[PROJETO]],UTDNOVEMBRO!B:K,10,FALSE)</f>
        <v/>
      </c>
      <c r="V10">
        <f>VLOOKUP(pub?gid_1064752002_single_true_output_csv[[#This Row],[PROJETO]],UTDNOVEMBRO!B:N,13,FALSE)</f>
        <v/>
      </c>
      <c r="W10">
        <f>VLOOKUP(pub?gid_1064752002_single_true_output_csv[[#This Row],[PROJETO]],UTDNOVEMBRO!B:O,14,FALSE)</f>
        <v/>
      </c>
      <c r="X10">
        <f>VLOOKUP(pub?gid_1064752002_single_true_output_csv[[#This Row],[PROJETO]],UTDNOVEMBRO!B:P,15,FALSE)</f>
        <v/>
      </c>
      <c r="Y10">
        <f>VLOOKUP(pub?gid_1064752002_single_true_output_csv[[#This Row],[PROJETO]],UTDNOVEMBRO!B:Q,16,FALSE)</f>
        <v/>
      </c>
    </row>
    <row r="11">
      <c r="A11" t="inlineStr">
        <is>
          <t>JAILSON</t>
        </is>
      </c>
      <c r="B11" t="inlineStr">
        <is>
          <t>HIAGO</t>
        </is>
      </c>
      <c r="C11" t="inlineStr">
        <is>
          <t>B-1207659</t>
        </is>
      </c>
      <c r="D11" t="inlineStr">
        <is>
          <t>UB-CIND-POV-PENDAO VERMELHO-CENTRO</t>
        </is>
      </c>
      <c r="E11" t="inlineStr">
        <is>
          <t>BARRO ALTO</t>
        </is>
      </c>
      <c r="F11" t="inlineStr">
        <is>
          <t>QLP</t>
        </is>
      </c>
      <c r="G11" t="inlineStr">
        <is>
          <t>DP 19/11 - ADF</t>
        </is>
      </c>
      <c r="H11" t="inlineStr">
        <is>
          <t>8</t>
        </is>
      </c>
      <c r="I11" t="inlineStr">
        <is>
          <t>14/11/2025</t>
        </is>
      </c>
      <c r="J11" t="inlineStr">
        <is>
          <t>19/11/2025</t>
        </is>
      </c>
      <c r="K11" t="inlineStr">
        <is>
          <t>PROGRAMADA</t>
        </is>
      </c>
      <c r="L11" t="inlineStr">
        <is>
          <t>DP/LV</t>
        </is>
      </c>
      <c r="N11" t="inlineStr">
        <is>
          <t>0</t>
        </is>
      </c>
      <c r="O11" t="inlineStr">
        <is>
          <t>0</t>
        </is>
      </c>
      <c r="P11">
        <f>VLOOKUP(pub?gid_1064752002_single_true_output_csv[[#This Row],[PROJETO]],UTDNOVEMBRO!B:AQ,42,FALSE)</f>
        <v/>
      </c>
      <c r="Q11">
        <f>VLOOKUP(pub?gid_1064752002_single_true_output_csv[[#This Row],[PROJETO]],UTDNOVEMBRO!B:AR,43,FALSE)</f>
        <v/>
      </c>
      <c r="R11">
        <f>VLOOKUP(pub?gid_1064752002_single_true_output_csv[[#This Row],[PROJETO]],UTDNOVEMBRO!B:AC,28,FALSE)</f>
        <v/>
      </c>
      <c r="S11">
        <f>VLOOKUP(pub?gid_1064752002_single_true_output_csv[[#This Row],[PROJETO]],UTDNOVEMBRO!B:C,2,FALSE)</f>
        <v/>
      </c>
      <c r="T11">
        <f>VLOOKUP(pub?gid_1064752002_single_true_output_csv[[#This Row],[PROJETO]],UTDNOVEMBRO!B:D,3,FALSE)</f>
        <v/>
      </c>
      <c r="U11">
        <f>VLOOKUP(pub?gid_1064752002_single_true_output_csv[[#This Row],[PROJETO]],UTDNOVEMBRO!B:K,10,FALSE)</f>
        <v/>
      </c>
      <c r="V11">
        <f>VLOOKUP(pub?gid_1064752002_single_true_output_csv[[#This Row],[PROJETO]],UTDNOVEMBRO!B:N,13,FALSE)</f>
        <v/>
      </c>
      <c r="W11">
        <f>VLOOKUP(pub?gid_1064752002_single_true_output_csv[[#This Row],[PROJETO]],UTDNOVEMBRO!B:O,14,FALSE)</f>
        <v/>
      </c>
      <c r="X11">
        <f>VLOOKUP(pub?gid_1064752002_single_true_output_csv[[#This Row],[PROJETO]],UTDNOVEMBRO!B:P,15,FALSE)</f>
        <v/>
      </c>
      <c r="Y11">
        <f>VLOOKUP(pub?gid_1064752002_single_true_output_csv[[#This Row],[PROJETO]],UTDNOVEMBRO!B:Q,16,FALSE)</f>
        <v/>
      </c>
    </row>
    <row r="12">
      <c r="A12" t="inlineStr">
        <is>
          <t>JAILSON</t>
        </is>
      </c>
      <c r="B12" t="inlineStr">
        <is>
          <t>HIAGO</t>
        </is>
      </c>
      <c r="C12" t="inlineStr">
        <is>
          <t>B-1225231</t>
        </is>
      </c>
      <c r="D12" t="inlineStr">
        <is>
          <t>ER-CIND-POV-PENDAO VERMELHO-PENDAO VERME</t>
        </is>
      </c>
      <c r="E12" t="inlineStr">
        <is>
          <t>BARRO ALTO</t>
        </is>
      </c>
      <c r="F12" t="inlineStr">
        <is>
          <t>QLP</t>
        </is>
      </c>
      <c r="G12" t="inlineStr">
        <is>
          <t>N3-3 PARA N4-3 EM POSTE EXISTENTE EM REDE 3X04 13,8Kv</t>
        </is>
      </c>
      <c r="H12" t="inlineStr">
        <is>
          <t>15</t>
        </is>
      </c>
      <c r="I12" t="inlineStr">
        <is>
          <t>20/11/2025</t>
        </is>
      </c>
      <c r="J12" t="inlineStr">
        <is>
          <t>25/11/2025</t>
        </is>
      </c>
      <c r="K12" t="inlineStr">
        <is>
          <t>PROGRAMADA</t>
        </is>
      </c>
      <c r="L12" t="inlineStr">
        <is>
          <t>LV</t>
        </is>
      </c>
      <c r="N12" t="inlineStr">
        <is>
          <t>0</t>
        </is>
      </c>
      <c r="O12" t="inlineStr">
        <is>
          <t>0</t>
        </is>
      </c>
      <c r="P12">
        <f>VLOOKUP(pub?gid_1064752002_single_true_output_csv[[#This Row],[PROJETO]],UTDNOVEMBRO!B:AQ,42,FALSE)</f>
        <v/>
      </c>
      <c r="Q12">
        <f>VLOOKUP(pub?gid_1064752002_single_true_output_csv[[#This Row],[PROJETO]],UTDNOVEMBRO!B:AR,43,FALSE)</f>
        <v/>
      </c>
      <c r="R12">
        <f>VLOOKUP(pub?gid_1064752002_single_true_output_csv[[#This Row],[PROJETO]],UTDNOVEMBRO!B:AC,28,FALSE)</f>
        <v/>
      </c>
      <c r="S12">
        <f>VLOOKUP(pub?gid_1064752002_single_true_output_csv[[#This Row],[PROJETO]],UTDNOVEMBRO!B:C,2,FALSE)</f>
        <v/>
      </c>
      <c r="T12">
        <f>VLOOKUP(pub?gid_1064752002_single_true_output_csv[[#This Row],[PROJETO]],UTDNOVEMBRO!B:D,3,FALSE)</f>
        <v/>
      </c>
      <c r="U12">
        <f>VLOOKUP(pub?gid_1064752002_single_true_output_csv[[#This Row],[PROJETO]],UTDNOVEMBRO!B:K,10,FALSE)</f>
        <v/>
      </c>
      <c r="V12">
        <f>VLOOKUP(pub?gid_1064752002_single_true_output_csv[[#This Row],[PROJETO]],UTDNOVEMBRO!B:N,13,FALSE)</f>
        <v/>
      </c>
      <c r="W12">
        <f>VLOOKUP(pub?gid_1064752002_single_true_output_csv[[#This Row],[PROJETO]],UTDNOVEMBRO!B:O,14,FALSE)</f>
        <v/>
      </c>
      <c r="X12">
        <f>VLOOKUP(pub?gid_1064752002_single_true_output_csv[[#This Row],[PROJETO]],UTDNOVEMBRO!B:P,15,FALSE)</f>
        <v/>
      </c>
      <c r="Y12">
        <f>VLOOKUP(pub?gid_1064752002_single_true_output_csv[[#This Row],[PROJETO]],UTDNOVEMBRO!B:Q,16,FALSE)</f>
        <v/>
      </c>
    </row>
    <row r="13">
      <c r="A13" t="inlineStr">
        <is>
          <t>JAILSON</t>
        </is>
      </c>
      <c r="B13" t="inlineStr">
        <is>
          <t>HIAGO</t>
        </is>
      </c>
      <c r="C13" t="inlineStr">
        <is>
          <t>B-1210478</t>
        </is>
      </c>
      <c r="D13" t="inlineStr">
        <is>
          <t>ER-CIND-POV PIMENTA 147-PIMENTA</t>
        </is>
      </c>
      <c r="E13" t="inlineStr">
        <is>
          <t>CAFARNAUM</t>
        </is>
      </c>
      <c r="F13" t="inlineStr">
        <is>
          <t>QLP</t>
        </is>
      </c>
      <c r="G13" t="inlineStr">
        <is>
          <t>N3-3 PARA N4-3 EM POSTE EXISTENTE EM REDE 2X04 13,8Kv</t>
        </is>
      </c>
      <c r="H13" t="inlineStr">
        <is>
          <t>15</t>
        </is>
      </c>
      <c r="I13" t="inlineStr">
        <is>
          <t>26/11/2025</t>
        </is>
      </c>
      <c r="J13" t="inlineStr">
        <is>
          <t>30/11/2025</t>
        </is>
      </c>
      <c r="K13" t="inlineStr">
        <is>
          <t>PROGRAMADA</t>
        </is>
      </c>
      <c r="L13" t="inlineStr">
        <is>
          <t>LV</t>
        </is>
      </c>
      <c r="N13" t="inlineStr">
        <is>
          <t>0</t>
        </is>
      </c>
      <c r="O13" t="inlineStr">
        <is>
          <t>0</t>
        </is>
      </c>
      <c r="P13">
        <f>VLOOKUP(pub?gid_1064752002_single_true_output_csv[[#This Row],[PROJETO]],UTDNOVEMBRO!B:AQ,42,FALSE)</f>
        <v/>
      </c>
      <c r="Q13">
        <f>VLOOKUP(pub?gid_1064752002_single_true_output_csv[[#This Row],[PROJETO]],UTDNOVEMBRO!B:AR,43,FALSE)</f>
        <v/>
      </c>
      <c r="R13">
        <f>VLOOKUP(pub?gid_1064752002_single_true_output_csv[[#This Row],[PROJETO]],UTDNOVEMBRO!B:AC,28,FALSE)</f>
        <v/>
      </c>
      <c r="S13">
        <f>VLOOKUP(pub?gid_1064752002_single_true_output_csv[[#This Row],[PROJETO]],UTDNOVEMBRO!B:C,2,FALSE)</f>
        <v/>
      </c>
      <c r="T13">
        <f>VLOOKUP(pub?gid_1064752002_single_true_output_csv[[#This Row],[PROJETO]],UTDNOVEMBRO!B:D,3,FALSE)</f>
        <v/>
      </c>
      <c r="U13">
        <f>VLOOKUP(pub?gid_1064752002_single_true_output_csv[[#This Row],[PROJETO]],UTDNOVEMBRO!B:K,10,FALSE)</f>
        <v/>
      </c>
      <c r="V13">
        <f>VLOOKUP(pub?gid_1064752002_single_true_output_csv[[#This Row],[PROJETO]],UTDNOVEMBRO!B:N,13,FALSE)</f>
        <v/>
      </c>
      <c r="W13">
        <f>VLOOKUP(pub?gid_1064752002_single_true_output_csv[[#This Row],[PROJETO]],UTDNOVEMBRO!B:O,14,FALSE)</f>
        <v/>
      </c>
      <c r="X13">
        <f>VLOOKUP(pub?gid_1064752002_single_true_output_csv[[#This Row],[PROJETO]],UTDNOVEMBRO!B:P,15,FALSE)</f>
        <v/>
      </c>
      <c r="Y13">
        <f>VLOOKUP(pub?gid_1064752002_single_true_output_csv[[#This Row],[PROJETO]],UTDNOVEMBRO!B:Q,16,FALSE)</f>
        <v/>
      </c>
    </row>
    <row r="14">
      <c r="A14" t="inlineStr">
        <is>
          <t>EDILSON</t>
        </is>
      </c>
      <c r="B14" t="inlineStr">
        <is>
          <t>DJALMA</t>
        </is>
      </c>
      <c r="C14" t="inlineStr">
        <is>
          <t>B-1207274</t>
        </is>
      </c>
      <c r="D14" t="inlineStr">
        <is>
          <t>RR-CIND-FAZ-BOA VISTA-RURAL</t>
        </is>
      </c>
      <c r="E14" t="inlineStr">
        <is>
          <t>MORRO DO CHAPÉU</t>
        </is>
      </c>
      <c r="F14" t="inlineStr">
        <is>
          <t>QLP</t>
        </is>
      </c>
      <c r="G14" t="inlineStr">
        <is>
          <t xml:space="preserve">DP 10/11 - ADF EM EM 3X1/0 EM REDE 13,8KvA </t>
        </is>
      </c>
      <c r="H14" t="inlineStr">
        <is>
          <t>12</t>
        </is>
      </c>
      <c r="I14" t="inlineStr">
        <is>
          <t>03/11/2025</t>
        </is>
      </c>
      <c r="J14" t="inlineStr">
        <is>
          <t>10/11/2025</t>
        </is>
      </c>
      <c r="K14" t="inlineStr">
        <is>
          <t>ATUANDO</t>
        </is>
      </c>
      <c r="L14" t="inlineStr">
        <is>
          <t>DP/LV</t>
        </is>
      </c>
      <c r="M14" t="inlineStr">
        <is>
          <t>10/11/2025</t>
        </is>
      </c>
      <c r="N14" t="inlineStr">
        <is>
          <t>6</t>
        </is>
      </c>
      <c r="O14" t="inlineStr">
        <is>
          <t>3</t>
        </is>
      </c>
      <c r="P14">
        <f>VLOOKUP(pub?gid_1064752002_single_true_output_csv[[#This Row],[PROJETO]],UTDNOVEMBRO!B:AQ,42,FALSE)</f>
        <v/>
      </c>
      <c r="Q14">
        <f>VLOOKUP(pub?gid_1064752002_single_true_output_csv[[#This Row],[PROJETO]],UTDNOVEMBRO!B:AR,43,FALSE)</f>
        <v/>
      </c>
      <c r="R14">
        <f>VLOOKUP(pub?gid_1064752002_single_true_output_csv[[#This Row],[PROJETO]],UTDNOVEMBRO!B:AC,28,FALSE)</f>
        <v/>
      </c>
      <c r="S14">
        <f>VLOOKUP(pub?gid_1064752002_single_true_output_csv[[#This Row],[PROJETO]],UTDNOVEMBRO!B:C,2,FALSE)</f>
        <v/>
      </c>
      <c r="T14">
        <f>VLOOKUP(pub?gid_1064752002_single_true_output_csv[[#This Row],[PROJETO]],UTDNOVEMBRO!B:D,3,FALSE)</f>
        <v/>
      </c>
      <c r="U14">
        <f>VLOOKUP(pub?gid_1064752002_single_true_output_csv[[#This Row],[PROJETO]],UTDNOVEMBRO!B:K,10,FALSE)</f>
        <v/>
      </c>
      <c r="V14">
        <f>VLOOKUP(pub?gid_1064752002_single_true_output_csv[[#This Row],[PROJETO]],UTDNOVEMBRO!B:N,13,FALSE)</f>
        <v/>
      </c>
      <c r="W14">
        <f>VLOOKUP(pub?gid_1064752002_single_true_output_csv[[#This Row],[PROJETO]],UTDNOVEMBRO!B:O,14,FALSE)</f>
        <v/>
      </c>
      <c r="X14">
        <f>VLOOKUP(pub?gid_1064752002_single_true_output_csv[[#This Row],[PROJETO]],UTDNOVEMBRO!B:P,15,FALSE)</f>
        <v/>
      </c>
      <c r="Y14">
        <f>VLOOKUP(pub?gid_1064752002_single_true_output_csv[[#This Row],[PROJETO]],UTDNOVEMBRO!B:Q,16,FALSE)</f>
        <v/>
      </c>
    </row>
    <row r="15">
      <c r="A15" t="inlineStr">
        <is>
          <t>WILIAN SILVA</t>
        </is>
      </c>
      <c r="B15" t="inlineStr">
        <is>
          <t>DJALMA</t>
        </is>
      </c>
      <c r="C15" t="inlineStr">
        <is>
          <t>B-1227809</t>
        </is>
      </c>
      <c r="D15" t="inlineStr">
        <is>
          <t>ER-CIND-POV-ASSENTAMENTO SERRA AZUL-SERR</t>
        </is>
      </c>
      <c r="E15" t="inlineStr">
        <is>
          <t>JOÃO DOURADO</t>
        </is>
      </c>
      <c r="F15" t="inlineStr">
        <is>
          <t>QLP</t>
        </is>
      </c>
      <c r="G15" t="inlineStr">
        <is>
          <t>N3 PARA N4 EM POSTE EXISTENTE EM REDE 3X04 13,8Kv - CAVA EM ROCHA</t>
        </is>
      </c>
      <c r="H15" t="inlineStr">
        <is>
          <t>29</t>
        </is>
      </c>
      <c r="I15" t="inlineStr">
        <is>
          <t>03/11/2025</t>
        </is>
      </c>
      <c r="J15" t="inlineStr">
        <is>
          <t>14/11/2025</t>
        </is>
      </c>
      <c r="K15" t="inlineStr">
        <is>
          <t>ATUANDO</t>
        </is>
      </c>
      <c r="L15" t="inlineStr">
        <is>
          <t>LV</t>
        </is>
      </c>
      <c r="N15" t="inlineStr">
        <is>
          <t>2</t>
        </is>
      </c>
      <c r="O15" t="inlineStr">
        <is>
          <t>3</t>
        </is>
      </c>
      <c r="P15">
        <f>VLOOKUP(pub?gid_1064752002_single_true_output_csv[[#This Row],[PROJETO]],UTDNOVEMBRO!B:AQ,42,FALSE)</f>
        <v/>
      </c>
      <c r="Q15">
        <f>VLOOKUP(pub?gid_1064752002_single_true_output_csv[[#This Row],[PROJETO]],UTDNOVEMBRO!B:AR,43,FALSE)</f>
        <v/>
      </c>
      <c r="R15">
        <f>VLOOKUP(pub?gid_1064752002_single_true_output_csv[[#This Row],[PROJETO]],UTDNOVEMBRO!B:AC,28,FALSE)</f>
        <v/>
      </c>
      <c r="S15">
        <f>VLOOKUP(pub?gid_1064752002_single_true_output_csv[[#This Row],[PROJETO]],UTDNOVEMBRO!B:C,2,FALSE)</f>
        <v/>
      </c>
      <c r="T15">
        <f>VLOOKUP(pub?gid_1064752002_single_true_output_csv[[#This Row],[PROJETO]],UTDNOVEMBRO!B:D,3,FALSE)</f>
        <v/>
      </c>
      <c r="U15">
        <f>VLOOKUP(pub?gid_1064752002_single_true_output_csv[[#This Row],[PROJETO]],UTDNOVEMBRO!B:K,10,FALSE)</f>
        <v/>
      </c>
      <c r="V15">
        <f>VLOOKUP(pub?gid_1064752002_single_true_output_csv[[#This Row],[PROJETO]],UTDNOVEMBRO!B:N,13,FALSE)</f>
        <v/>
      </c>
      <c r="W15">
        <f>VLOOKUP(pub?gid_1064752002_single_true_output_csv[[#This Row],[PROJETO]],UTDNOVEMBRO!B:O,14,FALSE)</f>
        <v/>
      </c>
      <c r="X15">
        <f>VLOOKUP(pub?gid_1064752002_single_true_output_csv[[#This Row],[PROJETO]],UTDNOVEMBRO!B:P,15,FALSE)</f>
        <v/>
      </c>
      <c r="Y15">
        <f>VLOOKUP(pub?gid_1064752002_single_true_output_csv[[#This Row],[PROJETO]],UTDNOVEMBRO!B:Q,16,FALSE)</f>
        <v/>
      </c>
    </row>
    <row r="16">
      <c r="A16" t="inlineStr">
        <is>
          <t>IRISMAR</t>
        </is>
      </c>
      <c r="B16" t="inlineStr">
        <is>
          <t>HIAGO</t>
        </is>
      </c>
      <c r="C16" t="inlineStr">
        <is>
          <t>B-1228895</t>
        </is>
      </c>
      <c r="D16" t="inlineStr">
        <is>
          <t>ER-CIND-POV-LADEIRA VERMELHA-RURAL</t>
        </is>
      </c>
      <c r="E16" t="inlineStr">
        <is>
          <t>CANARANA</t>
        </is>
      </c>
      <c r="F16" t="inlineStr">
        <is>
          <t>QLP</t>
        </is>
      </c>
      <c r="G16" t="inlineStr">
        <is>
          <t>ENERGIZADA</t>
        </is>
      </c>
      <c r="H16" t="inlineStr">
        <is>
          <t>3</t>
        </is>
      </c>
      <c r="I16" t="inlineStr">
        <is>
          <t>04/11/2025</t>
        </is>
      </c>
      <c r="J16" t="inlineStr">
        <is>
          <t>04/11/2025</t>
        </is>
      </c>
      <c r="K16" t="inlineStr">
        <is>
          <t>ENERGIZADA</t>
        </is>
      </c>
      <c r="N16" t="inlineStr">
        <is>
          <t>3</t>
        </is>
      </c>
      <c r="O16" t="inlineStr">
        <is>
          <t>3</t>
        </is>
      </c>
      <c r="P16">
        <f>VLOOKUP(pub?gid_1064752002_single_true_output_csv[[#This Row],[PROJETO]],UTDNOVEMBRO!B:AQ,42,FALSE)</f>
        <v/>
      </c>
      <c r="Q16">
        <f>VLOOKUP(pub?gid_1064752002_single_true_output_csv[[#This Row],[PROJETO]],UTDNOVEMBRO!B:AR,43,FALSE)</f>
        <v/>
      </c>
      <c r="R16">
        <f>VLOOKUP(pub?gid_1064752002_single_true_output_csv[[#This Row],[PROJETO]],UTDNOVEMBRO!B:AC,28,FALSE)</f>
        <v/>
      </c>
      <c r="S16">
        <f>VLOOKUP(pub?gid_1064752002_single_true_output_csv[[#This Row],[PROJETO]],UTDNOVEMBRO!B:C,2,FALSE)</f>
        <v/>
      </c>
      <c r="T16">
        <f>VLOOKUP(pub?gid_1064752002_single_true_output_csv[[#This Row],[PROJETO]],UTDNOVEMBRO!B:D,3,FALSE)</f>
        <v/>
      </c>
      <c r="U16">
        <f>VLOOKUP(pub?gid_1064752002_single_true_output_csv[[#This Row],[PROJETO]],UTDNOVEMBRO!B:K,10,FALSE)</f>
        <v/>
      </c>
      <c r="V16">
        <f>VLOOKUP(pub?gid_1064752002_single_true_output_csv[[#This Row],[PROJETO]],UTDNOVEMBRO!B:N,13,FALSE)</f>
        <v/>
      </c>
      <c r="W16">
        <f>VLOOKUP(pub?gid_1064752002_single_true_output_csv[[#This Row],[PROJETO]],UTDNOVEMBRO!B:O,14,FALSE)</f>
        <v/>
      </c>
      <c r="X16">
        <f>VLOOKUP(pub?gid_1064752002_single_true_output_csv[[#This Row],[PROJETO]],UTDNOVEMBRO!B:P,15,FALSE)</f>
        <v/>
      </c>
      <c r="Y16">
        <f>VLOOKUP(pub?gid_1064752002_single_true_output_csv[[#This Row],[PROJETO]],UTDNOVEMBRO!B:Q,16,FALSE)</f>
        <v/>
      </c>
    </row>
    <row r="17">
      <c r="A17" t="inlineStr">
        <is>
          <t>FELIPE</t>
        </is>
      </c>
      <c r="B17" t="inlineStr">
        <is>
          <t>RENATO</t>
        </is>
      </c>
      <c r="C17" t="inlineStr">
        <is>
          <t>B-1227844</t>
        </is>
      </c>
      <c r="D17" t="inlineStr">
        <is>
          <t>AC-CIND-POV-PAU D ARCO 69-RURAL</t>
        </is>
      </c>
      <c r="E17" t="inlineStr">
        <is>
          <t>CENTRAL</t>
        </is>
      </c>
      <c r="F17" t="inlineStr">
        <is>
          <t>QLP</t>
        </is>
      </c>
      <c r="G17" t="inlineStr">
        <is>
          <t>ENERGIZADA</t>
        </is>
      </c>
      <c r="H17" t="inlineStr">
        <is>
          <t>4</t>
        </is>
      </c>
      <c r="I17" t="inlineStr">
        <is>
          <t>03/11/2025</t>
        </is>
      </c>
      <c r="J17" t="inlineStr">
        <is>
          <t>03/11/2025</t>
        </is>
      </c>
      <c r="K17" t="inlineStr">
        <is>
          <t>ENERGIZADA</t>
        </is>
      </c>
      <c r="N17" t="inlineStr">
        <is>
          <t>4</t>
        </is>
      </c>
      <c r="O17" t="inlineStr">
        <is>
          <t>4</t>
        </is>
      </c>
      <c r="P17">
        <f>VLOOKUP(pub?gid_1064752002_single_true_output_csv[[#This Row],[PROJETO]],UTDNOVEMBRO!B:AQ,42,FALSE)</f>
        <v/>
      </c>
      <c r="Q17">
        <f>VLOOKUP(pub?gid_1064752002_single_true_output_csv[[#This Row],[PROJETO]],UTDNOVEMBRO!B:AR,43,FALSE)</f>
        <v/>
      </c>
      <c r="R17">
        <f>VLOOKUP(pub?gid_1064752002_single_true_output_csv[[#This Row],[PROJETO]],UTDNOVEMBRO!B:AC,28,FALSE)</f>
        <v/>
      </c>
      <c r="S17">
        <f>VLOOKUP(pub?gid_1064752002_single_true_output_csv[[#This Row],[PROJETO]],UTDNOVEMBRO!B:C,2,FALSE)</f>
        <v/>
      </c>
      <c r="T17">
        <f>VLOOKUP(pub?gid_1064752002_single_true_output_csv[[#This Row],[PROJETO]],UTDNOVEMBRO!B:D,3,FALSE)</f>
        <v/>
      </c>
      <c r="U17">
        <f>VLOOKUP(pub?gid_1064752002_single_true_output_csv[[#This Row],[PROJETO]],UTDNOVEMBRO!B:K,10,FALSE)</f>
        <v/>
      </c>
      <c r="V17">
        <f>VLOOKUP(pub?gid_1064752002_single_true_output_csv[[#This Row],[PROJETO]],UTDNOVEMBRO!B:N,13,FALSE)</f>
        <v/>
      </c>
      <c r="W17">
        <f>VLOOKUP(pub?gid_1064752002_single_true_output_csv[[#This Row],[PROJETO]],UTDNOVEMBRO!B:O,14,FALSE)</f>
        <v/>
      </c>
      <c r="X17">
        <f>VLOOKUP(pub?gid_1064752002_single_true_output_csv[[#This Row],[PROJETO]],UTDNOVEMBRO!B:P,15,FALSE)</f>
        <v/>
      </c>
      <c r="Y17">
        <f>VLOOKUP(pub?gid_1064752002_single_true_output_csv[[#This Row],[PROJETO]],UTDNOVEMBRO!B:Q,16,FALSE)</f>
        <v/>
      </c>
    </row>
    <row r="18">
      <c r="A18" t="inlineStr">
        <is>
          <t>FELIPE</t>
        </is>
      </c>
      <c r="B18" t="inlineStr">
        <is>
          <t>RENATO</t>
        </is>
      </c>
      <c r="C18" t="inlineStr">
        <is>
          <t>B-1228890</t>
        </is>
      </c>
      <c r="D18" t="inlineStr">
        <is>
          <t>ER-CIND-POV-ROCADINHO-RURAL</t>
        </is>
      </c>
      <c r="E18" t="inlineStr">
        <is>
          <t>CENTRAL</t>
        </is>
      </c>
      <c r="F18" t="inlineStr">
        <is>
          <t>QLP</t>
        </is>
      </c>
      <c r="G18" t="inlineStr">
        <is>
          <t>ENERGIZADA</t>
        </is>
      </c>
      <c r="H18" t="inlineStr">
        <is>
          <t>6</t>
        </is>
      </c>
      <c r="I18" t="inlineStr">
        <is>
          <t>04/11/2025</t>
        </is>
      </c>
      <c r="J18" t="inlineStr">
        <is>
          <t>05/11/2025</t>
        </is>
      </c>
      <c r="K18" t="inlineStr">
        <is>
          <t>ENERGIZADA</t>
        </is>
      </c>
      <c r="N18" t="inlineStr">
        <is>
          <t>6</t>
        </is>
      </c>
      <c r="O18" t="inlineStr">
        <is>
          <t>6</t>
        </is>
      </c>
      <c r="P18">
        <f>VLOOKUP(pub?gid_1064752002_single_true_output_csv[[#This Row],[PROJETO]],UTDNOVEMBRO!B:AQ,42,FALSE)</f>
        <v/>
      </c>
      <c r="Q18">
        <f>VLOOKUP(pub?gid_1064752002_single_true_output_csv[[#This Row],[PROJETO]],UTDNOVEMBRO!B:AR,43,FALSE)</f>
        <v/>
      </c>
      <c r="R18">
        <f>VLOOKUP(pub?gid_1064752002_single_true_output_csv[[#This Row],[PROJETO]],UTDNOVEMBRO!B:AC,28,FALSE)</f>
        <v/>
      </c>
      <c r="S18">
        <f>VLOOKUP(pub?gid_1064752002_single_true_output_csv[[#This Row],[PROJETO]],UTDNOVEMBRO!B:C,2,FALSE)</f>
        <v/>
      </c>
      <c r="T18">
        <f>VLOOKUP(pub?gid_1064752002_single_true_output_csv[[#This Row],[PROJETO]],UTDNOVEMBRO!B:D,3,FALSE)</f>
        <v/>
      </c>
      <c r="U18">
        <f>VLOOKUP(pub?gid_1064752002_single_true_output_csv[[#This Row],[PROJETO]],UTDNOVEMBRO!B:K,10,FALSE)</f>
        <v/>
      </c>
      <c r="V18">
        <f>VLOOKUP(pub?gid_1064752002_single_true_output_csv[[#This Row],[PROJETO]],UTDNOVEMBRO!B:N,13,FALSE)</f>
        <v/>
      </c>
      <c r="W18">
        <f>VLOOKUP(pub?gid_1064752002_single_true_output_csv[[#This Row],[PROJETO]],UTDNOVEMBRO!B:O,14,FALSE)</f>
        <v/>
      </c>
      <c r="X18">
        <f>VLOOKUP(pub?gid_1064752002_single_true_output_csv[[#This Row],[PROJETO]],UTDNOVEMBRO!B:P,15,FALSE)</f>
        <v/>
      </c>
      <c r="Y18">
        <f>VLOOKUP(pub?gid_1064752002_single_true_output_csv[[#This Row],[PROJETO]],UTDNOVEMBRO!B:Q,16,FALSE)</f>
        <v/>
      </c>
    </row>
    <row r="19">
      <c r="A19" t="inlineStr">
        <is>
          <t>ENES</t>
        </is>
      </c>
      <c r="B19" t="inlineStr">
        <is>
          <t>RENATO</t>
        </is>
      </c>
      <c r="C19" t="inlineStr">
        <is>
          <t>B-1231419</t>
        </is>
      </c>
      <c r="D19" t="inlineStr">
        <is>
          <t>ER-CIND-FAZ-BELA VISTA-RURAL</t>
        </is>
      </c>
      <c r="E19" t="inlineStr">
        <is>
          <t>PRESIDENTE DUTRA</t>
        </is>
      </c>
      <c r="F19" t="inlineStr">
        <is>
          <t>QLP</t>
        </is>
      </c>
      <c r="G19" t="inlineStr">
        <is>
          <t>N3 PARA N4 EM POSTE EXISTENTE EM REDE 3X04 13,8Kv - CAVA EM ROCHA</t>
        </is>
      </c>
      <c r="H19" t="inlineStr">
        <is>
          <t>23</t>
        </is>
      </c>
      <c r="I19" t="inlineStr">
        <is>
          <t>04/11/2025</t>
        </is>
      </c>
      <c r="J19" t="inlineStr">
        <is>
          <t>30/11/2025</t>
        </is>
      </c>
      <c r="K19" t="inlineStr">
        <is>
          <t>ATUANDO</t>
        </is>
      </c>
      <c r="L19" t="inlineStr">
        <is>
          <t>LV</t>
        </is>
      </c>
      <c r="N19" t="inlineStr">
        <is>
          <t>0</t>
        </is>
      </c>
      <c r="O19" t="inlineStr">
        <is>
          <t>0</t>
        </is>
      </c>
      <c r="P19">
        <f>VLOOKUP(pub?gid_1064752002_single_true_output_csv[[#This Row],[PROJETO]],UTDNOVEMBRO!B:AQ,42,FALSE)</f>
        <v/>
      </c>
      <c r="Q19">
        <f>VLOOKUP(pub?gid_1064752002_single_true_output_csv[[#This Row],[PROJETO]],UTDNOVEMBRO!B:AR,43,FALSE)</f>
        <v/>
      </c>
      <c r="R19">
        <f>VLOOKUP(pub?gid_1064752002_single_true_output_csv[[#This Row],[PROJETO]],UTDNOVEMBRO!B:AC,28,FALSE)</f>
        <v/>
      </c>
      <c r="S19">
        <f>VLOOKUP(pub?gid_1064752002_single_true_output_csv[[#This Row],[PROJETO]],UTDNOVEMBRO!B:C,2,FALSE)</f>
        <v/>
      </c>
      <c r="T19">
        <f>VLOOKUP(pub?gid_1064752002_single_true_output_csv[[#This Row],[PROJETO]],UTDNOVEMBRO!B:D,3,FALSE)</f>
        <v/>
      </c>
      <c r="U19">
        <f>VLOOKUP(pub?gid_1064752002_single_true_output_csv[[#This Row],[PROJETO]],UTDNOVEMBRO!B:K,10,FALSE)</f>
        <v/>
      </c>
      <c r="V19">
        <f>VLOOKUP(pub?gid_1064752002_single_true_output_csv[[#This Row],[PROJETO]],UTDNOVEMBRO!B:N,13,FALSE)</f>
        <v/>
      </c>
      <c r="W19">
        <f>VLOOKUP(pub?gid_1064752002_single_true_output_csv[[#This Row],[PROJETO]],UTDNOVEMBRO!B:O,14,FALSE)</f>
        <v/>
      </c>
      <c r="X19">
        <f>VLOOKUP(pub?gid_1064752002_single_true_output_csv[[#This Row],[PROJETO]],UTDNOVEMBRO!B:P,15,FALSE)</f>
        <v/>
      </c>
      <c r="Y19">
        <f>VLOOKUP(pub?gid_1064752002_single_true_output_csv[[#This Row],[PROJETO]],UTDNOVEMBRO!B:Q,16,FALSE)</f>
        <v/>
      </c>
    </row>
    <row r="20">
      <c r="A20" t="inlineStr">
        <is>
          <t>JARBAS</t>
        </is>
      </c>
      <c r="B20" t="inlineStr">
        <is>
          <t>HIAGO</t>
        </is>
      </c>
      <c r="C20" t="inlineStr">
        <is>
          <t>B-1214286</t>
        </is>
      </c>
      <c r="D20" t="inlineStr">
        <is>
          <t>ER-CIND-POV-MELADOR 25461-MELADOR</t>
        </is>
      </c>
      <c r="E20" t="inlineStr">
        <is>
          <t>CANARANA</t>
        </is>
      </c>
      <c r="F20" t="inlineStr">
        <is>
          <t>QLP</t>
        </is>
      </c>
      <c r="G20" t="inlineStr">
        <is>
          <t>DP 20/11  - ADF EM REDE 3X04 13,8Kv - TR 30KvA 34,5Kv</t>
        </is>
      </c>
      <c r="H20" t="inlineStr">
        <is>
          <t>15</t>
        </is>
      </c>
      <c r="I20" t="inlineStr">
        <is>
          <t>04/11/2025</t>
        </is>
      </c>
      <c r="J20" t="inlineStr">
        <is>
          <t>20/11/2025</t>
        </is>
      </c>
      <c r="K20" t="inlineStr">
        <is>
          <t>ATUANDO</t>
        </is>
      </c>
      <c r="L20" t="inlineStr">
        <is>
          <t>DP/LV</t>
        </is>
      </c>
      <c r="N20" t="inlineStr">
        <is>
          <t>15</t>
        </is>
      </c>
      <c r="O20" t="inlineStr">
        <is>
          <t>15</t>
        </is>
      </c>
      <c r="P20">
        <f>VLOOKUP(pub?gid_1064752002_single_true_output_csv[[#This Row],[PROJETO]],UTDNOVEMBRO!B:AQ,42,FALSE)</f>
        <v/>
      </c>
      <c r="Q20">
        <f>VLOOKUP(pub?gid_1064752002_single_true_output_csv[[#This Row],[PROJETO]],UTDNOVEMBRO!B:AR,43,FALSE)</f>
        <v/>
      </c>
      <c r="R20">
        <f>VLOOKUP(pub?gid_1064752002_single_true_output_csv[[#This Row],[PROJETO]],UTDNOVEMBRO!B:AC,28,FALSE)</f>
        <v/>
      </c>
      <c r="S20">
        <f>VLOOKUP(pub?gid_1064752002_single_true_output_csv[[#This Row],[PROJETO]],UTDNOVEMBRO!B:C,2,FALSE)</f>
        <v/>
      </c>
      <c r="T20">
        <f>VLOOKUP(pub?gid_1064752002_single_true_output_csv[[#This Row],[PROJETO]],UTDNOVEMBRO!B:D,3,FALSE)</f>
        <v/>
      </c>
      <c r="U20">
        <f>VLOOKUP(pub?gid_1064752002_single_true_output_csv[[#This Row],[PROJETO]],UTDNOVEMBRO!B:K,10,FALSE)</f>
        <v/>
      </c>
      <c r="V20">
        <f>VLOOKUP(pub?gid_1064752002_single_true_output_csv[[#This Row],[PROJETO]],UTDNOVEMBRO!B:N,13,FALSE)</f>
        <v/>
      </c>
      <c r="W20">
        <f>VLOOKUP(pub?gid_1064752002_single_true_output_csv[[#This Row],[PROJETO]],UTDNOVEMBRO!B:O,14,FALSE)</f>
        <v/>
      </c>
      <c r="X20">
        <f>VLOOKUP(pub?gid_1064752002_single_true_output_csv[[#This Row],[PROJETO]],UTDNOVEMBRO!B:P,15,FALSE)</f>
        <v/>
      </c>
      <c r="Y20">
        <f>VLOOKUP(pub?gid_1064752002_single_true_output_csv[[#This Row],[PROJETO]],UTDNOVEMBRO!B:Q,16,FALSE)</f>
        <v/>
      </c>
    </row>
    <row r="21">
      <c r="A21" t="inlineStr">
        <is>
          <t>MARCOS PAULO</t>
        </is>
      </c>
      <c r="B21" t="inlineStr">
        <is>
          <t>HIAGO</t>
        </is>
      </c>
      <c r="C21" t="inlineStr">
        <is>
          <t>B-1228814</t>
        </is>
      </c>
      <c r="D21" t="inlineStr">
        <is>
          <t>AC-CIND-POV-VELAME-RURAL</t>
        </is>
      </c>
      <c r="E21" t="inlineStr">
        <is>
          <t>IBIPEBA</t>
        </is>
      </c>
      <c r="F21" t="inlineStr">
        <is>
          <t>QLP</t>
        </is>
      </c>
      <c r="G21" t="inlineStr">
        <is>
          <t>DP 14/11 - ADF SUBSTITUIÇÃO DE TR 10KvA POR 30KvA E CONDUTOR DE BT</t>
        </is>
      </c>
      <c r="H21" t="inlineStr">
        <is>
          <t>0</t>
        </is>
      </c>
      <c r="I21" t="inlineStr">
        <is>
          <t>14/11/2025</t>
        </is>
      </c>
      <c r="J21" t="inlineStr">
        <is>
          <t>14/11/2025</t>
        </is>
      </c>
      <c r="K21" t="inlineStr">
        <is>
          <t>PROGRAMADA</t>
        </is>
      </c>
      <c r="L21" t="inlineStr">
        <is>
          <t>DP</t>
        </is>
      </c>
      <c r="N21" t="inlineStr">
        <is>
          <t>0</t>
        </is>
      </c>
      <c r="O21" t="inlineStr">
        <is>
          <t>0</t>
        </is>
      </c>
      <c r="P21">
        <f>VLOOKUP(pub?gid_1064752002_single_true_output_csv[[#This Row],[PROJETO]],UTDNOVEMBRO!B:AQ,42,FALSE)</f>
        <v/>
      </c>
      <c r="Q21">
        <f>VLOOKUP(pub?gid_1064752002_single_true_output_csv[[#This Row],[PROJETO]],UTDNOVEMBRO!B:AR,43,FALSE)</f>
        <v/>
      </c>
      <c r="R21">
        <f>VLOOKUP(pub?gid_1064752002_single_true_output_csv[[#This Row],[PROJETO]],UTDNOVEMBRO!B:AC,28,FALSE)</f>
        <v/>
      </c>
      <c r="S21">
        <f>VLOOKUP(pub?gid_1064752002_single_true_output_csv[[#This Row],[PROJETO]],UTDNOVEMBRO!B:C,2,FALSE)</f>
        <v/>
      </c>
      <c r="T21">
        <f>VLOOKUP(pub?gid_1064752002_single_true_output_csv[[#This Row],[PROJETO]],UTDNOVEMBRO!B:D,3,FALSE)</f>
        <v/>
      </c>
      <c r="U21">
        <f>VLOOKUP(pub?gid_1064752002_single_true_output_csv[[#This Row],[PROJETO]],UTDNOVEMBRO!B:K,10,FALSE)</f>
        <v/>
      </c>
      <c r="V21">
        <f>VLOOKUP(pub?gid_1064752002_single_true_output_csv[[#This Row],[PROJETO]],UTDNOVEMBRO!B:N,13,FALSE)</f>
        <v/>
      </c>
      <c r="W21">
        <f>VLOOKUP(pub?gid_1064752002_single_true_output_csv[[#This Row],[PROJETO]],UTDNOVEMBRO!B:O,14,FALSE)</f>
        <v/>
      </c>
      <c r="X21">
        <f>VLOOKUP(pub?gid_1064752002_single_true_output_csv[[#This Row],[PROJETO]],UTDNOVEMBRO!B:P,15,FALSE)</f>
        <v/>
      </c>
      <c r="Y21">
        <f>VLOOKUP(pub?gid_1064752002_single_true_output_csv[[#This Row],[PROJETO]],UTDNOVEMBRO!B:Q,16,FALSE)</f>
        <v/>
      </c>
    </row>
    <row r="22">
      <c r="A22" t="inlineStr">
        <is>
          <t>EDIMILSON</t>
        </is>
      </c>
      <c r="B22" t="inlineStr">
        <is>
          <t>HIAGO</t>
        </is>
      </c>
      <c r="C22" t="inlineStr">
        <is>
          <t>B-1228709</t>
        </is>
      </c>
      <c r="D22" t="inlineStr">
        <is>
          <t>ER-CIND-POV-LAGOA DO ESTEVAO-RURAL</t>
        </is>
      </c>
      <c r="E22" t="inlineStr">
        <is>
          <t>IBITITÁ</t>
        </is>
      </c>
      <c r="F22" t="inlineStr">
        <is>
          <t>QLP</t>
        </is>
      </c>
      <c r="G22" t="inlineStr">
        <is>
          <t>ENERGIZADA</t>
        </is>
      </c>
      <c r="H22" t="inlineStr">
        <is>
          <t>4</t>
        </is>
      </c>
      <c r="I22" t="inlineStr">
        <is>
          <t>03/11/2025</t>
        </is>
      </c>
      <c r="J22" t="inlineStr">
        <is>
          <t>03/11/2025</t>
        </is>
      </c>
      <c r="K22" t="inlineStr">
        <is>
          <t>ENERGIZADA</t>
        </is>
      </c>
      <c r="N22" t="inlineStr">
        <is>
          <t>4</t>
        </is>
      </c>
      <c r="O22" t="inlineStr">
        <is>
          <t>4</t>
        </is>
      </c>
      <c r="P22">
        <f>VLOOKUP(pub?gid_1064752002_single_true_output_csv[[#This Row],[PROJETO]],UTDNOVEMBRO!B:AQ,42,FALSE)</f>
        <v/>
      </c>
      <c r="Q22">
        <f>VLOOKUP(pub?gid_1064752002_single_true_output_csv[[#This Row],[PROJETO]],UTDNOVEMBRO!B:AR,43,FALSE)</f>
        <v/>
      </c>
      <c r="R22">
        <f>VLOOKUP(pub?gid_1064752002_single_true_output_csv[[#This Row],[PROJETO]],UTDNOVEMBRO!B:AC,28,FALSE)</f>
        <v/>
      </c>
      <c r="S22">
        <f>VLOOKUP(pub?gid_1064752002_single_true_output_csv[[#This Row],[PROJETO]],UTDNOVEMBRO!B:C,2,FALSE)</f>
        <v/>
      </c>
      <c r="T22">
        <f>VLOOKUP(pub?gid_1064752002_single_true_output_csv[[#This Row],[PROJETO]],UTDNOVEMBRO!B:D,3,FALSE)</f>
        <v/>
      </c>
      <c r="U22">
        <f>VLOOKUP(pub?gid_1064752002_single_true_output_csv[[#This Row],[PROJETO]],UTDNOVEMBRO!B:K,10,FALSE)</f>
        <v/>
      </c>
      <c r="V22">
        <f>VLOOKUP(pub?gid_1064752002_single_true_output_csv[[#This Row],[PROJETO]],UTDNOVEMBRO!B:N,13,FALSE)</f>
        <v/>
      </c>
      <c r="W22">
        <f>VLOOKUP(pub?gid_1064752002_single_true_output_csv[[#This Row],[PROJETO]],UTDNOVEMBRO!B:O,14,FALSE)</f>
        <v/>
      </c>
      <c r="X22">
        <f>VLOOKUP(pub?gid_1064752002_single_true_output_csv[[#This Row],[PROJETO]],UTDNOVEMBRO!B:P,15,FALSE)</f>
        <v/>
      </c>
      <c r="Y22">
        <f>VLOOKUP(pub?gid_1064752002_single_true_output_csv[[#This Row],[PROJETO]],UTDNOVEMBRO!B:Q,16,FALSE)</f>
        <v/>
      </c>
    </row>
    <row r="23">
      <c r="A23" t="inlineStr">
        <is>
          <t>EDIMILSON</t>
        </is>
      </c>
      <c r="B23" t="inlineStr">
        <is>
          <t>HIAGO</t>
        </is>
      </c>
      <c r="C23" t="inlineStr">
        <is>
          <t>B-1230299</t>
        </is>
      </c>
      <c r="D23" t="inlineStr">
        <is>
          <t>ER-CIND-POV-LAGEDAO-RURAL</t>
        </is>
      </c>
      <c r="E23" t="inlineStr">
        <is>
          <t>IBITITÁ</t>
        </is>
      </c>
      <c r="F23" t="inlineStr">
        <is>
          <t>QLP</t>
        </is>
      </c>
      <c r="G23" t="inlineStr">
        <is>
          <t>DP 14/11 - N3 PARA N3 EM REDE 3X04 13,8Kv</t>
        </is>
      </c>
      <c r="H23" t="inlineStr">
        <is>
          <t>41</t>
        </is>
      </c>
      <c r="I23" t="inlineStr">
        <is>
          <t>04/11/2025</t>
        </is>
      </c>
      <c r="J23" t="inlineStr">
        <is>
          <t>30/11/2025</t>
        </is>
      </c>
      <c r="K23" t="inlineStr">
        <is>
          <t>ATUANDO</t>
        </is>
      </c>
      <c r="L23" t="inlineStr">
        <is>
          <t>DP/LV</t>
        </is>
      </c>
      <c r="M23" t="inlineStr">
        <is>
          <t>14/11/2025</t>
        </is>
      </c>
      <c r="N23" t="inlineStr">
        <is>
          <t>41</t>
        </is>
      </c>
      <c r="O23" t="inlineStr">
        <is>
          <t>19</t>
        </is>
      </c>
      <c r="P23">
        <f>VLOOKUP(pub?gid_1064752002_single_true_output_csv[[#This Row],[PROJETO]],UTDNOVEMBRO!B:AQ,42,FALSE)</f>
        <v/>
      </c>
      <c r="Q23">
        <f>VLOOKUP(pub?gid_1064752002_single_true_output_csv[[#This Row],[PROJETO]],UTDNOVEMBRO!B:AR,43,FALSE)</f>
        <v/>
      </c>
      <c r="R23">
        <f>VLOOKUP(pub?gid_1064752002_single_true_output_csv[[#This Row],[PROJETO]],UTDNOVEMBRO!B:AC,28,FALSE)</f>
        <v/>
      </c>
      <c r="S23">
        <f>VLOOKUP(pub?gid_1064752002_single_true_output_csv[[#This Row],[PROJETO]],UTDNOVEMBRO!B:C,2,FALSE)</f>
        <v/>
      </c>
      <c r="T23">
        <f>VLOOKUP(pub?gid_1064752002_single_true_output_csv[[#This Row],[PROJETO]],UTDNOVEMBRO!B:D,3,FALSE)</f>
        <v/>
      </c>
      <c r="U23">
        <f>VLOOKUP(pub?gid_1064752002_single_true_output_csv[[#This Row],[PROJETO]],UTDNOVEMBRO!B:K,10,FALSE)</f>
        <v/>
      </c>
      <c r="V23">
        <f>VLOOKUP(pub?gid_1064752002_single_true_output_csv[[#This Row],[PROJETO]],UTDNOVEMBRO!B:N,13,FALSE)</f>
        <v/>
      </c>
      <c r="W23">
        <f>VLOOKUP(pub?gid_1064752002_single_true_output_csv[[#This Row],[PROJETO]],UTDNOVEMBRO!B:O,14,FALSE)</f>
        <v/>
      </c>
      <c r="X23">
        <f>VLOOKUP(pub?gid_1064752002_single_true_output_csv[[#This Row],[PROJETO]],UTDNOVEMBRO!B:P,15,FALSE)</f>
        <v/>
      </c>
      <c r="Y23">
        <f>VLOOKUP(pub?gid_1064752002_single_true_output_csv[[#This Row],[PROJETO]],UTDNOVEMBRO!B:Q,16,FALSE)</f>
        <v/>
      </c>
    </row>
    <row r="24">
      <c r="A24" t="inlineStr">
        <is>
          <t>REVERTON</t>
        </is>
      </c>
      <c r="B24" t="inlineStr">
        <is>
          <t>RENATO</t>
        </is>
      </c>
      <c r="C24" t="inlineStr">
        <is>
          <t>B-1212255</t>
        </is>
      </c>
      <c r="D24" t="inlineStr">
        <is>
          <t>ER-CIND-POV-VARIANTE-RURAL</t>
        </is>
      </c>
      <c r="E24" t="inlineStr">
        <is>
          <t>SÃO GABRIEL</t>
        </is>
      </c>
      <c r="F24" t="inlineStr">
        <is>
          <t>QLP</t>
        </is>
      </c>
      <c r="G24" t="inlineStr">
        <is>
          <t>ENERGIZADA</t>
        </is>
      </c>
      <c r="H24" t="inlineStr">
        <is>
          <t>7</t>
        </is>
      </c>
      <c r="I24" t="inlineStr">
        <is>
          <t>04/11/2025</t>
        </is>
      </c>
      <c r="J24" t="inlineStr">
        <is>
          <t>06/11/2025</t>
        </is>
      </c>
      <c r="K24" t="inlineStr">
        <is>
          <t>ENERGIZADA</t>
        </is>
      </c>
      <c r="L24" t="inlineStr">
        <is>
          <t>LV</t>
        </is>
      </c>
      <c r="M24" t="inlineStr">
        <is>
          <t>REALIZADO</t>
        </is>
      </c>
      <c r="N24" t="inlineStr">
        <is>
          <t>7</t>
        </is>
      </c>
      <c r="O24" t="inlineStr">
        <is>
          <t>7</t>
        </is>
      </c>
      <c r="P24">
        <f>VLOOKUP(pub?gid_1064752002_single_true_output_csv[[#This Row],[PROJETO]],UTDNOVEMBRO!B:AQ,42,FALSE)</f>
        <v/>
      </c>
      <c r="Q24">
        <f>VLOOKUP(pub?gid_1064752002_single_true_output_csv[[#This Row],[PROJETO]],UTDNOVEMBRO!B:AR,43,FALSE)</f>
        <v/>
      </c>
      <c r="R24">
        <f>VLOOKUP(pub?gid_1064752002_single_true_output_csv[[#This Row],[PROJETO]],UTDNOVEMBRO!B:AC,28,FALSE)</f>
        <v/>
      </c>
      <c r="S24">
        <f>VLOOKUP(pub?gid_1064752002_single_true_output_csv[[#This Row],[PROJETO]],UTDNOVEMBRO!B:C,2,FALSE)</f>
        <v/>
      </c>
      <c r="T24">
        <f>VLOOKUP(pub?gid_1064752002_single_true_output_csv[[#This Row],[PROJETO]],UTDNOVEMBRO!B:D,3,FALSE)</f>
        <v/>
      </c>
      <c r="U24">
        <f>VLOOKUP(pub?gid_1064752002_single_true_output_csv[[#This Row],[PROJETO]],UTDNOVEMBRO!B:K,10,FALSE)</f>
        <v/>
      </c>
      <c r="V24">
        <f>VLOOKUP(pub?gid_1064752002_single_true_output_csv[[#This Row],[PROJETO]],UTDNOVEMBRO!B:N,13,FALSE)</f>
        <v/>
      </c>
      <c r="W24">
        <f>VLOOKUP(pub?gid_1064752002_single_true_output_csv[[#This Row],[PROJETO]],UTDNOVEMBRO!B:O,14,FALSE)</f>
        <v/>
      </c>
      <c r="X24">
        <f>VLOOKUP(pub?gid_1064752002_single_true_output_csv[[#This Row],[PROJETO]],UTDNOVEMBRO!B:P,15,FALSE)</f>
        <v/>
      </c>
      <c r="Y24">
        <f>VLOOKUP(pub?gid_1064752002_single_true_output_csv[[#This Row],[PROJETO]],UTDNOVEMBRO!B:Q,16,FALSE)</f>
        <v/>
      </c>
    </row>
    <row r="25">
      <c r="A25" t="inlineStr">
        <is>
          <t>WILIAN SILVA</t>
        </is>
      </c>
      <c r="B25" t="inlineStr">
        <is>
          <t>DJALMA</t>
        </is>
      </c>
      <c r="C25" t="inlineStr">
        <is>
          <t>B-1226260</t>
        </is>
      </c>
      <c r="D25" t="inlineStr">
        <is>
          <t>ER-CIND-POV-MATA DO MILHO-CENTRO</t>
        </is>
      </c>
      <c r="E25" t="inlineStr">
        <is>
          <t>JOÃO DOURADO</t>
        </is>
      </c>
      <c r="F25" t="inlineStr">
        <is>
          <t>QLP</t>
        </is>
      </c>
      <c r="G25" t="inlineStr">
        <is>
          <t>N3 PARA N4 EM POSTE EXISTENTE EM REDE 3X04 13,8Kv - CAVA EM ROCHA</t>
        </is>
      </c>
      <c r="H25" t="inlineStr">
        <is>
          <t>21</t>
        </is>
      </c>
      <c r="I25" t="inlineStr">
        <is>
          <t>17/11/2025</t>
        </is>
      </c>
      <c r="J25" t="inlineStr">
        <is>
          <t>30/11/2025</t>
        </is>
      </c>
      <c r="K25" t="inlineStr">
        <is>
          <t>PROGRAMADA</t>
        </is>
      </c>
      <c r="L25" t="inlineStr">
        <is>
          <t>LV</t>
        </is>
      </c>
      <c r="N25" t="inlineStr">
        <is>
          <t>6</t>
        </is>
      </c>
      <c r="O25" t="inlineStr">
        <is>
          <t>2</t>
        </is>
      </c>
      <c r="P25">
        <f>VLOOKUP(pub?gid_1064752002_single_true_output_csv[[#This Row],[PROJETO]],UTDNOVEMBRO!B:AQ,42,FALSE)</f>
        <v/>
      </c>
      <c r="Q25">
        <f>VLOOKUP(pub?gid_1064752002_single_true_output_csv[[#This Row],[PROJETO]],UTDNOVEMBRO!B:AR,43,FALSE)</f>
        <v/>
      </c>
      <c r="R25">
        <f>VLOOKUP(pub?gid_1064752002_single_true_output_csv[[#This Row],[PROJETO]],UTDNOVEMBRO!B:AC,28,FALSE)</f>
        <v/>
      </c>
      <c r="S25">
        <f>VLOOKUP(pub?gid_1064752002_single_true_output_csv[[#This Row],[PROJETO]],UTDNOVEMBRO!B:C,2,FALSE)</f>
        <v/>
      </c>
      <c r="T25">
        <f>VLOOKUP(pub?gid_1064752002_single_true_output_csv[[#This Row],[PROJETO]],UTDNOVEMBRO!B:D,3,FALSE)</f>
        <v/>
      </c>
      <c r="U25">
        <f>VLOOKUP(pub?gid_1064752002_single_true_output_csv[[#This Row],[PROJETO]],UTDNOVEMBRO!B:K,10,FALSE)</f>
        <v/>
      </c>
      <c r="V25">
        <f>VLOOKUP(pub?gid_1064752002_single_true_output_csv[[#This Row],[PROJETO]],UTDNOVEMBRO!B:N,13,FALSE)</f>
        <v/>
      </c>
      <c r="W25">
        <f>VLOOKUP(pub?gid_1064752002_single_true_output_csv[[#This Row],[PROJETO]],UTDNOVEMBRO!B:O,14,FALSE)</f>
        <v/>
      </c>
      <c r="X25">
        <f>VLOOKUP(pub?gid_1064752002_single_true_output_csv[[#This Row],[PROJETO]],UTDNOVEMBRO!B:P,15,FALSE)</f>
        <v/>
      </c>
      <c r="Y25">
        <f>VLOOKUP(pub?gid_1064752002_single_true_output_csv[[#This Row],[PROJETO]],UTDNOVEMBRO!B:Q,16,FALSE)</f>
        <v/>
      </c>
    </row>
    <row r="26">
      <c r="A26" t="inlineStr">
        <is>
          <t>VANILSON</t>
        </is>
      </c>
      <c r="B26" t="inlineStr">
        <is>
          <t>DJALMA</t>
        </is>
      </c>
      <c r="C26" t="inlineStr">
        <is>
          <t>B-1228556</t>
        </is>
      </c>
      <c r="D26" t="inlineStr">
        <is>
          <t>ER-CIND-POV-LAGOA DOS LUNDUS-RURAL</t>
        </is>
      </c>
      <c r="E26" t="inlineStr">
        <is>
          <t>JOÃO DOURADO</t>
        </is>
      </c>
      <c r="F26" t="inlineStr">
        <is>
          <t>QLP</t>
        </is>
      </c>
      <c r="G26" t="inlineStr">
        <is>
          <t>INTERCALAR POSTE 11/600 N1 - N3 CF EM REDE 3X04 13,8Kv - CAVA EM ROCHA</t>
        </is>
      </c>
      <c r="H26" t="inlineStr">
        <is>
          <t>13</t>
        </is>
      </c>
      <c r="I26" t="inlineStr">
        <is>
          <t>13/11/2025</t>
        </is>
      </c>
      <c r="J26" t="inlineStr">
        <is>
          <t>19/11/2025</t>
        </is>
      </c>
      <c r="K26" t="inlineStr">
        <is>
          <t>PROGRAMADA</t>
        </is>
      </c>
      <c r="L26" t="inlineStr">
        <is>
          <t>LV</t>
        </is>
      </c>
      <c r="N26" t="inlineStr">
        <is>
          <t>0</t>
        </is>
      </c>
      <c r="O26" t="inlineStr">
        <is>
          <t>0</t>
        </is>
      </c>
      <c r="P26">
        <f>VLOOKUP(pub?gid_1064752002_single_true_output_csv[[#This Row],[PROJETO]],UTDNOVEMBRO!B:AQ,42,FALSE)</f>
        <v/>
      </c>
      <c r="Q26">
        <f>VLOOKUP(pub?gid_1064752002_single_true_output_csv[[#This Row],[PROJETO]],UTDNOVEMBRO!B:AR,43,FALSE)</f>
        <v/>
      </c>
      <c r="R26">
        <f>VLOOKUP(pub?gid_1064752002_single_true_output_csv[[#This Row],[PROJETO]],UTDNOVEMBRO!B:AC,28,FALSE)</f>
        <v/>
      </c>
      <c r="S26">
        <f>VLOOKUP(pub?gid_1064752002_single_true_output_csv[[#This Row],[PROJETO]],UTDNOVEMBRO!B:C,2,FALSE)</f>
        <v/>
      </c>
      <c r="T26">
        <f>VLOOKUP(pub?gid_1064752002_single_true_output_csv[[#This Row],[PROJETO]],UTDNOVEMBRO!B:D,3,FALSE)</f>
        <v/>
      </c>
      <c r="U26">
        <f>VLOOKUP(pub?gid_1064752002_single_true_output_csv[[#This Row],[PROJETO]],UTDNOVEMBRO!B:K,10,FALSE)</f>
        <v/>
      </c>
      <c r="V26">
        <f>VLOOKUP(pub?gid_1064752002_single_true_output_csv[[#This Row],[PROJETO]],UTDNOVEMBRO!B:N,13,FALSE)</f>
        <v/>
      </c>
      <c r="W26">
        <f>VLOOKUP(pub?gid_1064752002_single_true_output_csv[[#This Row],[PROJETO]],UTDNOVEMBRO!B:O,14,FALSE)</f>
        <v/>
      </c>
      <c r="X26">
        <f>VLOOKUP(pub?gid_1064752002_single_true_output_csv[[#This Row],[PROJETO]],UTDNOVEMBRO!B:P,15,FALSE)</f>
        <v/>
      </c>
      <c r="Y26">
        <f>VLOOKUP(pub?gid_1064752002_single_true_output_csv[[#This Row],[PROJETO]],UTDNOVEMBRO!B:Q,16,FALSE)</f>
        <v/>
      </c>
    </row>
    <row r="27">
      <c r="A27" t="inlineStr">
        <is>
          <t>ALAN</t>
        </is>
      </c>
      <c r="B27" t="inlineStr">
        <is>
          <t>DJALMA</t>
        </is>
      </c>
      <c r="C27" t="inlineStr">
        <is>
          <t>B-1228748</t>
        </is>
      </c>
      <c r="D27" t="inlineStr">
        <is>
          <t>AC-CIND-PR -DA IGREJA-RURAL</t>
        </is>
      </c>
      <c r="E27" t="inlineStr">
        <is>
          <t>LAPÃO</t>
        </is>
      </c>
      <c r="F27" t="inlineStr">
        <is>
          <t>QLP</t>
        </is>
      </c>
      <c r="G27" t="inlineStr">
        <is>
          <t>DP 11/11 - ADF EM REDE BT</t>
        </is>
      </c>
      <c r="H27" t="inlineStr">
        <is>
          <t>0</t>
        </is>
      </c>
      <c r="I27" t="inlineStr">
        <is>
          <t>11/11/2025</t>
        </is>
      </c>
      <c r="J27" t="inlineStr">
        <is>
          <t>11/11/2025</t>
        </is>
      </c>
      <c r="K27" t="inlineStr">
        <is>
          <t>PROGRAMADA</t>
        </is>
      </c>
      <c r="L27" t="inlineStr">
        <is>
          <t>DP</t>
        </is>
      </c>
      <c r="N27" t="inlineStr">
        <is>
          <t>0</t>
        </is>
      </c>
      <c r="O27" t="inlineStr">
        <is>
          <t>0</t>
        </is>
      </c>
      <c r="P27">
        <f>VLOOKUP(pub?gid_1064752002_single_true_output_csv[[#This Row],[PROJETO]],UTDNOVEMBRO!B:AQ,42,FALSE)</f>
        <v/>
      </c>
      <c r="Q27">
        <f>VLOOKUP(pub?gid_1064752002_single_true_output_csv[[#This Row],[PROJETO]],UTDNOVEMBRO!B:AR,43,FALSE)</f>
        <v/>
      </c>
      <c r="R27">
        <f>VLOOKUP(pub?gid_1064752002_single_true_output_csv[[#This Row],[PROJETO]],UTDNOVEMBRO!B:AC,28,FALSE)</f>
        <v/>
      </c>
      <c r="S27">
        <f>VLOOKUP(pub?gid_1064752002_single_true_output_csv[[#This Row],[PROJETO]],UTDNOVEMBRO!B:C,2,FALSE)</f>
        <v/>
      </c>
      <c r="T27">
        <f>VLOOKUP(pub?gid_1064752002_single_true_output_csv[[#This Row],[PROJETO]],UTDNOVEMBRO!B:D,3,FALSE)</f>
        <v/>
      </c>
      <c r="U27">
        <f>VLOOKUP(pub?gid_1064752002_single_true_output_csv[[#This Row],[PROJETO]],UTDNOVEMBRO!B:K,10,FALSE)</f>
        <v/>
      </c>
      <c r="V27">
        <f>VLOOKUP(pub?gid_1064752002_single_true_output_csv[[#This Row],[PROJETO]],UTDNOVEMBRO!B:N,13,FALSE)</f>
        <v/>
      </c>
      <c r="W27">
        <f>VLOOKUP(pub?gid_1064752002_single_true_output_csv[[#This Row],[PROJETO]],UTDNOVEMBRO!B:O,14,FALSE)</f>
        <v/>
      </c>
      <c r="X27">
        <f>VLOOKUP(pub?gid_1064752002_single_true_output_csv[[#This Row],[PROJETO]],UTDNOVEMBRO!B:P,15,FALSE)</f>
        <v/>
      </c>
      <c r="Y27">
        <f>VLOOKUP(pub?gid_1064752002_single_true_output_csv[[#This Row],[PROJETO]],UTDNOVEMBRO!B:Q,16,FALSE)</f>
        <v/>
      </c>
    </row>
    <row r="28">
      <c r="A28" t="inlineStr">
        <is>
          <t>ESMERALDO</t>
        </is>
      </c>
      <c r="B28" t="inlineStr">
        <is>
          <t>RENATO</t>
        </is>
      </c>
      <c r="C28" t="inlineStr">
        <is>
          <t>B-1229264</t>
        </is>
      </c>
      <c r="D28" t="inlineStr">
        <is>
          <t>ER-CIND-POV-LAGOA DO CHICO EDU-RURAL</t>
        </is>
      </c>
      <c r="E28" t="inlineStr">
        <is>
          <t>ITAGUAÇU DA BAHIA</t>
        </is>
      </c>
      <c r="F28" t="inlineStr">
        <is>
          <t>QLP</t>
        </is>
      </c>
      <c r="G28" t="inlineStr">
        <is>
          <t>DP 17/11 - ADF EM TRECHO DE 2,5 KM</t>
        </is>
      </c>
      <c r="H28" t="inlineStr">
        <is>
          <t>19</t>
        </is>
      </c>
      <c r="I28" t="inlineStr">
        <is>
          <t>04/11/2025</t>
        </is>
      </c>
      <c r="J28" t="inlineStr">
        <is>
          <t>17/11/2025</t>
        </is>
      </c>
      <c r="K28" t="inlineStr">
        <is>
          <t>ATUANDO</t>
        </is>
      </c>
      <c r="L28" t="inlineStr">
        <is>
          <t>DP/LV</t>
        </is>
      </c>
      <c r="M28" t="inlineStr">
        <is>
          <t>17/11/2025</t>
        </is>
      </c>
      <c r="N28" t="inlineStr">
        <is>
          <t>19</t>
        </is>
      </c>
      <c r="O28" t="inlineStr">
        <is>
          <t>13</t>
        </is>
      </c>
      <c r="P28">
        <f>VLOOKUP(pub?gid_1064752002_single_true_output_csv[[#This Row],[PROJETO]],UTDNOVEMBRO!B:AQ,42,FALSE)</f>
        <v/>
      </c>
      <c r="Q28">
        <f>VLOOKUP(pub?gid_1064752002_single_true_output_csv[[#This Row],[PROJETO]],UTDNOVEMBRO!B:AR,43,FALSE)</f>
        <v/>
      </c>
      <c r="R28">
        <f>VLOOKUP(pub?gid_1064752002_single_true_output_csv[[#This Row],[PROJETO]],UTDNOVEMBRO!B:AC,28,FALSE)</f>
        <v/>
      </c>
      <c r="S28">
        <f>VLOOKUP(pub?gid_1064752002_single_true_output_csv[[#This Row],[PROJETO]],UTDNOVEMBRO!B:C,2,FALSE)</f>
        <v/>
      </c>
      <c r="T28">
        <f>VLOOKUP(pub?gid_1064752002_single_true_output_csv[[#This Row],[PROJETO]],UTDNOVEMBRO!B:D,3,FALSE)</f>
        <v/>
      </c>
      <c r="U28">
        <f>VLOOKUP(pub?gid_1064752002_single_true_output_csv[[#This Row],[PROJETO]],UTDNOVEMBRO!B:K,10,FALSE)</f>
        <v/>
      </c>
      <c r="V28">
        <f>VLOOKUP(pub?gid_1064752002_single_true_output_csv[[#This Row],[PROJETO]],UTDNOVEMBRO!B:N,13,FALSE)</f>
        <v/>
      </c>
      <c r="W28">
        <f>VLOOKUP(pub?gid_1064752002_single_true_output_csv[[#This Row],[PROJETO]],UTDNOVEMBRO!B:O,14,FALSE)</f>
        <v/>
      </c>
      <c r="X28">
        <f>VLOOKUP(pub?gid_1064752002_single_true_output_csv[[#This Row],[PROJETO]],UTDNOVEMBRO!B:P,15,FALSE)</f>
        <v/>
      </c>
      <c r="Y28">
        <f>VLOOKUP(pub?gid_1064752002_single_true_output_csv[[#This Row],[PROJETO]],UTDNOVEMBRO!B:Q,16,FALSE)</f>
        <v/>
      </c>
    </row>
    <row r="29">
      <c r="A29" t="inlineStr">
        <is>
          <t>ALAN</t>
        </is>
      </c>
      <c r="B29" t="inlineStr">
        <is>
          <t>DJALMA</t>
        </is>
      </c>
      <c r="C29" t="inlineStr">
        <is>
          <t>B-1211158</t>
        </is>
      </c>
      <c r="D29" t="inlineStr">
        <is>
          <t>ER-CIND-FAZ-GUARANY-RURAL</t>
        </is>
      </c>
      <c r="E29" t="inlineStr">
        <is>
          <t>AMÉRICA DOURADA</t>
        </is>
      </c>
      <c r="F29" t="inlineStr">
        <is>
          <t>QLP</t>
        </is>
      </c>
      <c r="G29" t="inlineStr">
        <is>
          <t>INTERCALAR POSTE 11/600 N1-B3M EM REDE 2X04 13,8Kv</t>
        </is>
      </c>
      <c r="H29" t="inlineStr">
        <is>
          <t>23</t>
        </is>
      </c>
      <c r="I29" t="inlineStr">
        <is>
          <t>05/11/2025</t>
        </is>
      </c>
      <c r="J29" t="inlineStr">
        <is>
          <t>17/11/2025</t>
        </is>
      </c>
      <c r="K29" t="inlineStr">
        <is>
          <t>ATUANDO</t>
        </is>
      </c>
      <c r="L29" t="inlineStr">
        <is>
          <t>LV</t>
        </is>
      </c>
      <c r="M29" t="inlineStr">
        <is>
          <t>8/11/2025</t>
        </is>
      </c>
      <c r="N29" t="inlineStr">
        <is>
          <t>23</t>
        </is>
      </c>
      <c r="O29" t="inlineStr">
        <is>
          <t>12</t>
        </is>
      </c>
      <c r="P29">
        <f>VLOOKUP(pub?gid_1064752002_single_true_output_csv[[#This Row],[PROJETO]],UTDNOVEMBRO!B:AQ,42,FALSE)</f>
        <v/>
      </c>
      <c r="Q29">
        <f>VLOOKUP(pub?gid_1064752002_single_true_output_csv[[#This Row],[PROJETO]],UTDNOVEMBRO!B:AR,43,FALSE)</f>
        <v/>
      </c>
      <c r="R29">
        <f>VLOOKUP(pub?gid_1064752002_single_true_output_csv[[#This Row],[PROJETO]],UTDNOVEMBRO!B:AC,28,FALSE)</f>
        <v/>
      </c>
      <c r="S29">
        <f>VLOOKUP(pub?gid_1064752002_single_true_output_csv[[#This Row],[PROJETO]],UTDNOVEMBRO!B:C,2,FALSE)</f>
        <v/>
      </c>
      <c r="T29">
        <f>VLOOKUP(pub?gid_1064752002_single_true_output_csv[[#This Row],[PROJETO]],UTDNOVEMBRO!B:D,3,FALSE)</f>
        <v/>
      </c>
      <c r="U29">
        <f>VLOOKUP(pub?gid_1064752002_single_true_output_csv[[#This Row],[PROJETO]],UTDNOVEMBRO!B:K,10,FALSE)</f>
        <v/>
      </c>
      <c r="V29">
        <f>VLOOKUP(pub?gid_1064752002_single_true_output_csv[[#This Row],[PROJETO]],UTDNOVEMBRO!B:N,13,FALSE)</f>
        <v/>
      </c>
      <c r="W29">
        <f>VLOOKUP(pub?gid_1064752002_single_true_output_csv[[#This Row],[PROJETO]],UTDNOVEMBRO!B:O,14,FALSE)</f>
        <v/>
      </c>
      <c r="X29">
        <f>VLOOKUP(pub?gid_1064752002_single_true_output_csv[[#This Row],[PROJETO]],UTDNOVEMBRO!B:P,15,FALSE)</f>
        <v/>
      </c>
      <c r="Y29">
        <f>VLOOKUP(pub?gid_1064752002_single_true_output_csv[[#This Row],[PROJETO]],UTDNOVEMBRO!B:Q,16,FALSE)</f>
        <v/>
      </c>
    </row>
    <row r="30">
      <c r="A30" t="inlineStr">
        <is>
          <t>JARBAS</t>
        </is>
      </c>
      <c r="B30" t="inlineStr">
        <is>
          <t>HIAGO</t>
        </is>
      </c>
      <c r="C30" t="inlineStr">
        <is>
          <t>B-1228504</t>
        </is>
      </c>
      <c r="D30" t="inlineStr">
        <is>
          <t>ER-CIND-POV-DESCOBERTO-RURAL</t>
        </is>
      </c>
      <c r="E30" t="inlineStr">
        <is>
          <t>CANARANA</t>
        </is>
      </c>
      <c r="F30" t="inlineStr">
        <is>
          <t>QLP</t>
        </is>
      </c>
      <c r="G30" t="inlineStr">
        <is>
          <t>N3 PARA N4 EM POSTE EXISTENTE EM REDE 2X04 13,8Kv - MUDAR COD. CELA CRUZETA</t>
        </is>
      </c>
      <c r="H30" t="inlineStr">
        <is>
          <t>17</t>
        </is>
      </c>
      <c r="I30" t="inlineStr">
        <is>
          <t>06/11/2025</t>
        </is>
      </c>
      <c r="J30" t="inlineStr">
        <is>
          <t>14/11/2025</t>
        </is>
      </c>
      <c r="K30" t="inlineStr">
        <is>
          <t>ATUANDO</t>
        </is>
      </c>
      <c r="L30" t="inlineStr">
        <is>
          <t>LV</t>
        </is>
      </c>
      <c r="N30" t="inlineStr">
        <is>
          <t>17</t>
        </is>
      </c>
      <c r="O30" t="inlineStr">
        <is>
          <t>0</t>
        </is>
      </c>
      <c r="P30">
        <f>VLOOKUP(pub?gid_1064752002_single_true_output_csv[[#This Row],[PROJETO]],UTDNOVEMBRO!B:AQ,42,FALSE)</f>
        <v/>
      </c>
      <c r="Q30">
        <f>VLOOKUP(pub?gid_1064752002_single_true_output_csv[[#This Row],[PROJETO]],UTDNOVEMBRO!B:AR,43,FALSE)</f>
        <v/>
      </c>
      <c r="R30">
        <f>VLOOKUP(pub?gid_1064752002_single_true_output_csv[[#This Row],[PROJETO]],UTDNOVEMBRO!B:AC,28,FALSE)</f>
        <v/>
      </c>
      <c r="S30">
        <f>VLOOKUP(pub?gid_1064752002_single_true_output_csv[[#This Row],[PROJETO]],UTDNOVEMBRO!B:C,2,FALSE)</f>
        <v/>
      </c>
      <c r="T30">
        <f>VLOOKUP(pub?gid_1064752002_single_true_output_csv[[#This Row],[PROJETO]],UTDNOVEMBRO!B:D,3,FALSE)</f>
        <v/>
      </c>
      <c r="U30">
        <f>VLOOKUP(pub?gid_1064752002_single_true_output_csv[[#This Row],[PROJETO]],UTDNOVEMBRO!B:K,10,FALSE)</f>
        <v/>
      </c>
      <c r="V30">
        <f>VLOOKUP(pub?gid_1064752002_single_true_output_csv[[#This Row],[PROJETO]],UTDNOVEMBRO!B:N,13,FALSE)</f>
        <v/>
      </c>
      <c r="W30">
        <f>VLOOKUP(pub?gid_1064752002_single_true_output_csv[[#This Row],[PROJETO]],UTDNOVEMBRO!B:O,14,FALSE)</f>
        <v/>
      </c>
      <c r="X30">
        <f>VLOOKUP(pub?gid_1064752002_single_true_output_csv[[#This Row],[PROJETO]],UTDNOVEMBRO!B:P,15,FALSE)</f>
        <v/>
      </c>
      <c r="Y30">
        <f>VLOOKUP(pub?gid_1064752002_single_true_output_csv[[#This Row],[PROJETO]],UTDNOVEMBRO!B:Q,16,FALSE)</f>
        <v/>
      </c>
    </row>
    <row r="31">
      <c r="A31" t="inlineStr">
        <is>
          <t>MARCOS PAULO</t>
        </is>
      </c>
      <c r="B31" t="inlineStr">
        <is>
          <t>HIAGO</t>
        </is>
      </c>
      <c r="C31" t="inlineStr">
        <is>
          <t>B-1182565</t>
        </is>
      </c>
      <c r="D31" t="inlineStr">
        <is>
          <t>AC-COEL-RUA-ANTERO VIEIRA-CENTRO</t>
        </is>
      </c>
      <c r="E31" t="inlineStr">
        <is>
          <t>IBIPEBA</t>
        </is>
      </c>
      <c r="F31" t="inlineStr">
        <is>
          <t>INSTITUCIONAL</t>
        </is>
      </c>
      <c r="G31" t="inlineStr">
        <is>
          <t>DP 18/11 - ADF N3 PARA N4 EM POSTE EXISTENTE EM REDE 3x04 13,8Kv</t>
        </is>
      </c>
      <c r="H31" t="inlineStr">
        <is>
          <t>17</t>
        </is>
      </c>
      <c r="I31" t="inlineStr">
        <is>
          <t>11/11/2025</t>
        </is>
      </c>
      <c r="J31" t="inlineStr">
        <is>
          <t>18/11/2025</t>
        </is>
      </c>
      <c r="K31" t="inlineStr">
        <is>
          <t>PROGRAMADA</t>
        </is>
      </c>
      <c r="L31" t="inlineStr">
        <is>
          <t>DP/LV</t>
        </is>
      </c>
      <c r="N31" t="inlineStr">
        <is>
          <t>0</t>
        </is>
      </c>
      <c r="O31" t="inlineStr">
        <is>
          <t>0</t>
        </is>
      </c>
      <c r="P31">
        <f>VLOOKUP(pub?gid_1064752002_single_true_output_csv[[#This Row],[PROJETO]],UTDNOVEMBRO!B:AQ,42,FALSE)</f>
        <v/>
      </c>
      <c r="Q31">
        <f>VLOOKUP(pub?gid_1064752002_single_true_output_csv[[#This Row],[PROJETO]],UTDNOVEMBRO!B:AR,43,FALSE)</f>
        <v/>
      </c>
      <c r="R31">
        <f>VLOOKUP(pub?gid_1064752002_single_true_output_csv[[#This Row],[PROJETO]],UTDNOVEMBRO!B:AC,28,FALSE)</f>
        <v/>
      </c>
      <c r="S31">
        <f>VLOOKUP(pub?gid_1064752002_single_true_output_csv[[#This Row],[PROJETO]],UTDNOVEMBRO!B:C,2,FALSE)</f>
        <v/>
      </c>
      <c r="T31">
        <f>VLOOKUP(pub?gid_1064752002_single_true_output_csv[[#This Row],[PROJETO]],UTDNOVEMBRO!B:D,3,FALSE)</f>
        <v/>
      </c>
      <c r="U31">
        <f>VLOOKUP(pub?gid_1064752002_single_true_output_csv[[#This Row],[PROJETO]],UTDNOVEMBRO!B:K,10,FALSE)</f>
        <v/>
      </c>
      <c r="V31">
        <f>VLOOKUP(pub?gid_1064752002_single_true_output_csv[[#This Row],[PROJETO]],UTDNOVEMBRO!B:N,13,FALSE)</f>
        <v/>
      </c>
      <c r="W31">
        <f>VLOOKUP(pub?gid_1064752002_single_true_output_csv[[#This Row],[PROJETO]],UTDNOVEMBRO!B:O,14,FALSE)</f>
        <v/>
      </c>
      <c r="X31">
        <f>VLOOKUP(pub?gid_1064752002_single_true_output_csv[[#This Row],[PROJETO]],UTDNOVEMBRO!B:P,15,FALSE)</f>
        <v/>
      </c>
      <c r="Y31">
        <f>VLOOKUP(pub?gid_1064752002_single_true_output_csv[[#This Row],[PROJETO]],UTDNOVEMBRO!B:Q,16,FALSE)</f>
        <v/>
      </c>
    </row>
    <row r="32">
      <c r="A32" t="inlineStr">
        <is>
          <t>GIORLAN</t>
        </is>
      </c>
      <c r="B32" t="inlineStr">
        <is>
          <t>RENATO</t>
        </is>
      </c>
      <c r="C32" t="inlineStr">
        <is>
          <t>B-1228726</t>
        </is>
      </c>
      <c r="D32" t="inlineStr">
        <is>
          <t>AC-CIND-POV-CAMAROTE-RURAL</t>
        </is>
      </c>
      <c r="E32" t="inlineStr">
        <is>
          <t>UIBAÍ</t>
        </is>
      </c>
      <c r="F32" t="inlineStr">
        <is>
          <t>QLP</t>
        </is>
      </c>
      <c r="G32" t="inlineStr">
        <is>
          <t>DP 12/11 - AFD DE REDE BT COM SUBSTUIÇÃO DE TR 10KvA POR 30KvA E CONDUTOR DE BT</t>
        </is>
      </c>
      <c r="H32" t="inlineStr">
        <is>
          <t>0</t>
        </is>
      </c>
      <c r="I32" t="inlineStr">
        <is>
          <t>12/11/2025</t>
        </is>
      </c>
      <c r="J32" t="inlineStr">
        <is>
          <t>12/11/2025</t>
        </is>
      </c>
      <c r="K32" t="inlineStr">
        <is>
          <t>PROGRAMADA</t>
        </is>
      </c>
      <c r="L32" t="inlineStr">
        <is>
          <t>DP</t>
        </is>
      </c>
      <c r="N32" t="inlineStr">
        <is>
          <t>0</t>
        </is>
      </c>
      <c r="O32" t="inlineStr">
        <is>
          <t>0</t>
        </is>
      </c>
      <c r="P32">
        <f>VLOOKUP(pub?gid_1064752002_single_true_output_csv[[#This Row],[PROJETO]],UTDNOVEMBRO!B:AQ,42,FALSE)</f>
        <v/>
      </c>
      <c r="Q32">
        <f>VLOOKUP(pub?gid_1064752002_single_true_output_csv[[#This Row],[PROJETO]],UTDNOVEMBRO!B:AR,43,FALSE)</f>
        <v/>
      </c>
      <c r="R32">
        <f>VLOOKUP(pub?gid_1064752002_single_true_output_csv[[#This Row],[PROJETO]],UTDNOVEMBRO!B:AC,28,FALSE)</f>
        <v/>
      </c>
      <c r="S32">
        <f>VLOOKUP(pub?gid_1064752002_single_true_output_csv[[#This Row],[PROJETO]],UTDNOVEMBRO!B:C,2,FALSE)</f>
        <v/>
      </c>
      <c r="T32">
        <f>VLOOKUP(pub?gid_1064752002_single_true_output_csv[[#This Row],[PROJETO]],UTDNOVEMBRO!B:D,3,FALSE)</f>
        <v/>
      </c>
      <c r="U32">
        <f>VLOOKUP(pub?gid_1064752002_single_true_output_csv[[#This Row],[PROJETO]],UTDNOVEMBRO!B:K,10,FALSE)</f>
        <v/>
      </c>
      <c r="V32">
        <f>VLOOKUP(pub?gid_1064752002_single_true_output_csv[[#This Row],[PROJETO]],UTDNOVEMBRO!B:N,13,FALSE)</f>
        <v/>
      </c>
      <c r="W32">
        <f>VLOOKUP(pub?gid_1064752002_single_true_output_csv[[#This Row],[PROJETO]],UTDNOVEMBRO!B:O,14,FALSE)</f>
        <v/>
      </c>
      <c r="X32">
        <f>VLOOKUP(pub?gid_1064752002_single_true_output_csv[[#This Row],[PROJETO]],UTDNOVEMBRO!B:P,15,FALSE)</f>
        <v/>
      </c>
      <c r="Y32">
        <f>VLOOKUP(pub?gid_1064752002_single_true_output_csv[[#This Row],[PROJETO]],UTDNOVEMBRO!B:Q,16,FALSE)</f>
        <v/>
      </c>
    </row>
    <row r="33">
      <c r="A33" t="inlineStr">
        <is>
          <t>GIORLAN</t>
        </is>
      </c>
      <c r="B33" t="inlineStr">
        <is>
          <t>RENATO</t>
        </is>
      </c>
      <c r="C33" t="inlineStr">
        <is>
          <t>B-1228821</t>
        </is>
      </c>
      <c r="D33" t="inlineStr">
        <is>
          <t>ER-CIND-POV-HIDROLANDIA-RURAL</t>
        </is>
      </c>
      <c r="E33" t="inlineStr">
        <is>
          <t>UIBAÍ</t>
        </is>
      </c>
      <c r="F33" t="inlineStr">
        <is>
          <t>QLP</t>
        </is>
      </c>
      <c r="G33" t="inlineStr">
        <is>
          <t>ENERGIZADA</t>
        </is>
      </c>
      <c r="H33" t="inlineStr">
        <is>
          <t>6</t>
        </is>
      </c>
      <c r="I33" t="inlineStr">
        <is>
          <t>03/11/2025</t>
        </is>
      </c>
      <c r="J33" t="inlineStr">
        <is>
          <t>04/11/2025</t>
        </is>
      </c>
      <c r="K33" t="inlineStr">
        <is>
          <t>ENERGIZADA</t>
        </is>
      </c>
      <c r="N33" t="inlineStr">
        <is>
          <t>6</t>
        </is>
      </c>
      <c r="O33" t="inlineStr">
        <is>
          <t>6</t>
        </is>
      </c>
      <c r="P33">
        <f>VLOOKUP(pub?gid_1064752002_single_true_output_csv[[#This Row],[PROJETO]],UTDNOVEMBRO!B:AQ,42,FALSE)</f>
        <v/>
      </c>
      <c r="Q33">
        <f>VLOOKUP(pub?gid_1064752002_single_true_output_csv[[#This Row],[PROJETO]],UTDNOVEMBRO!B:AR,43,FALSE)</f>
        <v/>
      </c>
      <c r="R33">
        <f>VLOOKUP(pub?gid_1064752002_single_true_output_csv[[#This Row],[PROJETO]],UTDNOVEMBRO!B:AC,28,FALSE)</f>
        <v/>
      </c>
      <c r="S33">
        <f>VLOOKUP(pub?gid_1064752002_single_true_output_csv[[#This Row],[PROJETO]],UTDNOVEMBRO!B:C,2,FALSE)</f>
        <v/>
      </c>
      <c r="T33">
        <f>VLOOKUP(pub?gid_1064752002_single_true_output_csv[[#This Row],[PROJETO]],UTDNOVEMBRO!B:D,3,FALSE)</f>
        <v/>
      </c>
      <c r="U33">
        <f>VLOOKUP(pub?gid_1064752002_single_true_output_csv[[#This Row],[PROJETO]],UTDNOVEMBRO!B:K,10,FALSE)</f>
        <v/>
      </c>
      <c r="V33">
        <f>VLOOKUP(pub?gid_1064752002_single_true_output_csv[[#This Row],[PROJETO]],UTDNOVEMBRO!B:N,13,FALSE)</f>
        <v/>
      </c>
      <c r="W33">
        <f>VLOOKUP(pub?gid_1064752002_single_true_output_csv[[#This Row],[PROJETO]],UTDNOVEMBRO!B:O,14,FALSE)</f>
        <v/>
      </c>
      <c r="X33">
        <f>VLOOKUP(pub?gid_1064752002_single_true_output_csv[[#This Row],[PROJETO]],UTDNOVEMBRO!B:P,15,FALSE)</f>
        <v/>
      </c>
      <c r="Y33">
        <f>VLOOKUP(pub?gid_1064752002_single_true_output_csv[[#This Row],[PROJETO]],UTDNOVEMBRO!B:Q,16,FALSE)</f>
        <v/>
      </c>
    </row>
    <row r="34">
      <c r="A34" t="inlineStr">
        <is>
          <t>IRISMAR</t>
        </is>
      </c>
      <c r="B34" t="inlineStr">
        <is>
          <t>HIAGO</t>
        </is>
      </c>
      <c r="C34" t="inlineStr">
        <is>
          <t>B-1011861</t>
        </is>
      </c>
      <c r="D34" t="inlineStr">
        <is>
          <t>IS-COEL-FAZ-SUELI-RURAL</t>
        </is>
      </c>
      <c r="E34" t="inlineStr">
        <is>
          <t>CANARANA</t>
        </is>
      </c>
      <c r="F34" t="inlineStr">
        <is>
          <t>INTERV SEGURANÇA</t>
        </is>
      </c>
      <c r="G34" t="inlineStr">
        <is>
          <t>DP 18/11  - DESATIVAR REDE E INTERLIGAR TECHO NOVO</t>
        </is>
      </c>
      <c r="H34" t="inlineStr">
        <is>
          <t>11</t>
        </is>
      </c>
      <c r="I34" t="inlineStr">
        <is>
          <t>11/11/2025</t>
        </is>
      </c>
      <c r="J34" t="inlineStr">
        <is>
          <t>18/11/2025</t>
        </is>
      </c>
      <c r="K34" t="inlineStr">
        <is>
          <t>PROGRAMADA</t>
        </is>
      </c>
      <c r="L34" t="inlineStr">
        <is>
          <t>DP/LV</t>
        </is>
      </c>
      <c r="M34" t="inlineStr">
        <is>
          <t>18/11/2025</t>
        </is>
      </c>
      <c r="N34" t="inlineStr">
        <is>
          <t>0</t>
        </is>
      </c>
      <c r="O34" t="inlineStr">
        <is>
          <t>0</t>
        </is>
      </c>
      <c r="P34">
        <f>VLOOKUP(pub?gid_1064752002_single_true_output_csv[[#This Row],[PROJETO]],UTDNOVEMBRO!B:AQ,42,FALSE)</f>
        <v/>
      </c>
      <c r="Q34">
        <f>VLOOKUP(pub?gid_1064752002_single_true_output_csv[[#This Row],[PROJETO]],UTDNOVEMBRO!B:AR,43,FALSE)</f>
        <v/>
      </c>
      <c r="R34">
        <f>VLOOKUP(pub?gid_1064752002_single_true_output_csv[[#This Row],[PROJETO]],UTDNOVEMBRO!B:AC,28,FALSE)</f>
        <v/>
      </c>
      <c r="S34">
        <f>VLOOKUP(pub?gid_1064752002_single_true_output_csv[[#This Row],[PROJETO]],UTDNOVEMBRO!B:C,2,FALSE)</f>
        <v/>
      </c>
      <c r="T34">
        <f>VLOOKUP(pub?gid_1064752002_single_true_output_csv[[#This Row],[PROJETO]],UTDNOVEMBRO!B:D,3,FALSE)</f>
        <v/>
      </c>
      <c r="U34">
        <f>VLOOKUP(pub?gid_1064752002_single_true_output_csv[[#This Row],[PROJETO]],UTDNOVEMBRO!B:K,10,FALSE)</f>
        <v/>
      </c>
      <c r="V34">
        <f>VLOOKUP(pub?gid_1064752002_single_true_output_csv[[#This Row],[PROJETO]],UTDNOVEMBRO!B:N,13,FALSE)</f>
        <v/>
      </c>
      <c r="W34">
        <f>VLOOKUP(pub?gid_1064752002_single_true_output_csv[[#This Row],[PROJETO]],UTDNOVEMBRO!B:O,14,FALSE)</f>
        <v/>
      </c>
      <c r="X34">
        <f>VLOOKUP(pub?gid_1064752002_single_true_output_csv[[#This Row],[PROJETO]],UTDNOVEMBRO!B:P,15,FALSE)</f>
        <v/>
      </c>
      <c r="Y34">
        <f>VLOOKUP(pub?gid_1064752002_single_true_output_csv[[#This Row],[PROJETO]],UTDNOVEMBRO!B:Q,16,FALSE)</f>
        <v/>
      </c>
    </row>
    <row r="35">
      <c r="A35" t="inlineStr">
        <is>
          <t>FELIPE</t>
        </is>
      </c>
      <c r="B35" t="inlineStr">
        <is>
          <t>RENATO</t>
        </is>
      </c>
      <c r="C35" t="inlineStr">
        <is>
          <t>B-1228949</t>
        </is>
      </c>
      <c r="D35" t="inlineStr">
        <is>
          <t>ER-CIND-POV-SAO JOAO-DO ZE DA PRETA</t>
        </is>
      </c>
      <c r="E35" t="inlineStr">
        <is>
          <t>CENTRAL</t>
        </is>
      </c>
      <c r="F35" t="inlineStr">
        <is>
          <t>QLP</t>
        </is>
      </c>
      <c r="G35" t="inlineStr">
        <is>
          <t>N3 PARA N3 EM REDE 2X04 13,8Kv</t>
        </is>
      </c>
      <c r="H35" t="inlineStr">
        <is>
          <t>18</t>
        </is>
      </c>
      <c r="I35" t="inlineStr">
        <is>
          <t>06/11/2025</t>
        </is>
      </c>
      <c r="J35" t="inlineStr">
        <is>
          <t>14/11/2025</t>
        </is>
      </c>
      <c r="K35" t="inlineStr">
        <is>
          <t>ATUANDO</t>
        </is>
      </c>
      <c r="L35" t="inlineStr">
        <is>
          <t>LV</t>
        </is>
      </c>
      <c r="N35" t="inlineStr">
        <is>
          <t>18</t>
        </is>
      </c>
      <c r="O35" t="inlineStr">
        <is>
          <t>3</t>
        </is>
      </c>
      <c r="P35">
        <f>VLOOKUP(pub?gid_1064752002_single_true_output_csv[[#This Row],[PROJETO]],UTDNOVEMBRO!B:AQ,42,FALSE)</f>
        <v/>
      </c>
      <c r="Q35">
        <f>VLOOKUP(pub?gid_1064752002_single_true_output_csv[[#This Row],[PROJETO]],UTDNOVEMBRO!B:AR,43,FALSE)</f>
        <v/>
      </c>
      <c r="R35">
        <f>VLOOKUP(pub?gid_1064752002_single_true_output_csv[[#This Row],[PROJETO]],UTDNOVEMBRO!B:AC,28,FALSE)</f>
        <v/>
      </c>
      <c r="S35">
        <f>VLOOKUP(pub?gid_1064752002_single_true_output_csv[[#This Row],[PROJETO]],UTDNOVEMBRO!B:C,2,FALSE)</f>
        <v/>
      </c>
      <c r="T35">
        <f>VLOOKUP(pub?gid_1064752002_single_true_output_csv[[#This Row],[PROJETO]],UTDNOVEMBRO!B:D,3,FALSE)</f>
        <v/>
      </c>
      <c r="U35">
        <f>VLOOKUP(pub?gid_1064752002_single_true_output_csv[[#This Row],[PROJETO]],UTDNOVEMBRO!B:K,10,FALSE)</f>
        <v/>
      </c>
      <c r="V35">
        <f>VLOOKUP(pub?gid_1064752002_single_true_output_csv[[#This Row],[PROJETO]],UTDNOVEMBRO!B:N,13,FALSE)</f>
        <v/>
      </c>
      <c r="W35">
        <f>VLOOKUP(pub?gid_1064752002_single_true_output_csv[[#This Row],[PROJETO]],UTDNOVEMBRO!B:O,14,FALSE)</f>
        <v/>
      </c>
      <c r="X35">
        <f>VLOOKUP(pub?gid_1064752002_single_true_output_csv[[#This Row],[PROJETO]],UTDNOVEMBRO!B:P,15,FALSE)</f>
        <v/>
      </c>
      <c r="Y35">
        <f>VLOOKUP(pub?gid_1064752002_single_true_output_csv[[#This Row],[PROJETO]],UTDNOVEMBRO!B:Q,16,FALSE)</f>
        <v/>
      </c>
    </row>
    <row r="36">
      <c r="A36" t="inlineStr">
        <is>
          <t>MARCOS PAULO</t>
        </is>
      </c>
      <c r="B36" t="inlineStr">
        <is>
          <t>HIAGO</t>
        </is>
      </c>
      <c r="C36" t="inlineStr">
        <is>
          <t>B-1140811</t>
        </is>
      </c>
      <c r="D36" t="inlineStr">
        <is>
          <t>ER-CIND-POV-PLANALTO-RURAL</t>
        </is>
      </c>
      <c r="E36" t="inlineStr">
        <is>
          <t>CANARANA</t>
        </is>
      </c>
      <c r="F36" t="inlineStr">
        <is>
          <t>QLP</t>
        </is>
      </c>
      <c r="G36" t="inlineStr">
        <is>
          <t xml:space="preserve">DP 27/11 </t>
        </is>
      </c>
      <c r="H36" t="inlineStr">
        <is>
          <t>7</t>
        </is>
      </c>
      <c r="I36" t="inlineStr">
        <is>
          <t>19/11/2025</t>
        </is>
      </c>
      <c r="J36" t="inlineStr">
        <is>
          <t>27/11/2025</t>
        </is>
      </c>
      <c r="K36" t="inlineStr">
        <is>
          <t>PROGRAMADA</t>
        </is>
      </c>
      <c r="L36" t="inlineStr">
        <is>
          <t>DP/LV</t>
        </is>
      </c>
      <c r="N36" t="inlineStr">
        <is>
          <t>0</t>
        </is>
      </c>
      <c r="O36" t="inlineStr">
        <is>
          <t>0</t>
        </is>
      </c>
      <c r="P36">
        <f>VLOOKUP(pub?gid_1064752002_single_true_output_csv[[#This Row],[PROJETO]],UTDNOVEMBRO!B:AQ,42,FALSE)</f>
        <v/>
      </c>
      <c r="Q36">
        <f>VLOOKUP(pub?gid_1064752002_single_true_output_csv[[#This Row],[PROJETO]],UTDNOVEMBRO!B:AR,43,FALSE)</f>
        <v/>
      </c>
      <c r="R36">
        <f>VLOOKUP(pub?gid_1064752002_single_true_output_csv[[#This Row],[PROJETO]],UTDNOVEMBRO!B:AC,28,FALSE)</f>
        <v/>
      </c>
      <c r="S36">
        <f>VLOOKUP(pub?gid_1064752002_single_true_output_csv[[#This Row],[PROJETO]],UTDNOVEMBRO!B:C,2,FALSE)</f>
        <v/>
      </c>
      <c r="T36">
        <f>VLOOKUP(pub?gid_1064752002_single_true_output_csv[[#This Row],[PROJETO]],UTDNOVEMBRO!B:D,3,FALSE)</f>
        <v/>
      </c>
      <c r="U36">
        <f>VLOOKUP(pub?gid_1064752002_single_true_output_csv[[#This Row],[PROJETO]],UTDNOVEMBRO!B:K,10,FALSE)</f>
        <v/>
      </c>
      <c r="V36">
        <f>VLOOKUP(pub?gid_1064752002_single_true_output_csv[[#This Row],[PROJETO]],UTDNOVEMBRO!B:N,13,FALSE)</f>
        <v/>
      </c>
      <c r="W36">
        <f>VLOOKUP(pub?gid_1064752002_single_true_output_csv[[#This Row],[PROJETO]],UTDNOVEMBRO!B:O,14,FALSE)</f>
        <v/>
      </c>
      <c r="X36">
        <f>VLOOKUP(pub?gid_1064752002_single_true_output_csv[[#This Row],[PROJETO]],UTDNOVEMBRO!B:P,15,FALSE)</f>
        <v/>
      </c>
      <c r="Y36">
        <f>VLOOKUP(pub?gid_1064752002_single_true_output_csv[[#This Row],[PROJETO]],UTDNOVEMBRO!B:Q,16,FALSE)</f>
        <v/>
      </c>
    </row>
    <row r="37">
      <c r="A37" t="inlineStr">
        <is>
          <t>REVERTON</t>
        </is>
      </c>
      <c r="B37" t="inlineStr">
        <is>
          <t>RENATO</t>
        </is>
      </c>
      <c r="C37" t="inlineStr">
        <is>
          <t>B-1229074</t>
        </is>
      </c>
      <c r="D37" t="inlineStr">
        <is>
          <t>ER-CIND-POV-VARIANTE-RURAL SAO GABRIEL</t>
        </is>
      </c>
      <c r="E37" t="inlineStr">
        <is>
          <t>SÃO GABRIEL</t>
        </is>
      </c>
      <c r="F37" t="inlineStr">
        <is>
          <t>QLP</t>
        </is>
      </c>
      <c r="G37" t="inlineStr">
        <is>
          <t xml:space="preserve">N3 PARA N4 EM POSTE EXISTENTE EM REDE 3x04 13.8Kv </t>
        </is>
      </c>
      <c r="H37" t="inlineStr">
        <is>
          <t>15</t>
        </is>
      </c>
      <c r="I37" t="inlineStr">
        <is>
          <t>07/11/2025</t>
        </is>
      </c>
      <c r="J37" t="inlineStr">
        <is>
          <t>25/11/2025</t>
        </is>
      </c>
      <c r="K37" t="inlineStr">
        <is>
          <t>ATUANDO</t>
        </is>
      </c>
      <c r="L37" t="inlineStr">
        <is>
          <t>LV</t>
        </is>
      </c>
      <c r="N37" t="inlineStr">
        <is>
          <t>8</t>
        </is>
      </c>
      <c r="O37" t="inlineStr">
        <is>
          <t>0</t>
        </is>
      </c>
      <c r="P37">
        <f>VLOOKUP(pub?gid_1064752002_single_true_output_csv[[#This Row],[PROJETO]],UTDNOVEMBRO!B:AQ,42,FALSE)</f>
        <v/>
      </c>
      <c r="Q37">
        <f>VLOOKUP(pub?gid_1064752002_single_true_output_csv[[#This Row],[PROJETO]],UTDNOVEMBRO!B:AR,43,FALSE)</f>
        <v/>
      </c>
      <c r="R37">
        <f>VLOOKUP(pub?gid_1064752002_single_true_output_csv[[#This Row],[PROJETO]],UTDNOVEMBRO!B:AC,28,FALSE)</f>
        <v/>
      </c>
      <c r="S37">
        <f>VLOOKUP(pub?gid_1064752002_single_true_output_csv[[#This Row],[PROJETO]],UTDNOVEMBRO!B:C,2,FALSE)</f>
        <v/>
      </c>
      <c r="T37">
        <f>VLOOKUP(pub?gid_1064752002_single_true_output_csv[[#This Row],[PROJETO]],UTDNOVEMBRO!B:D,3,FALSE)</f>
        <v/>
      </c>
      <c r="U37">
        <f>VLOOKUP(pub?gid_1064752002_single_true_output_csv[[#This Row],[PROJETO]],UTDNOVEMBRO!B:K,10,FALSE)</f>
        <v/>
      </c>
      <c r="V37">
        <f>VLOOKUP(pub?gid_1064752002_single_true_output_csv[[#This Row],[PROJETO]],UTDNOVEMBRO!B:N,13,FALSE)</f>
        <v/>
      </c>
      <c r="W37">
        <f>VLOOKUP(pub?gid_1064752002_single_true_output_csv[[#This Row],[PROJETO]],UTDNOVEMBRO!B:O,14,FALSE)</f>
        <v/>
      </c>
      <c r="X37">
        <f>VLOOKUP(pub?gid_1064752002_single_true_output_csv[[#This Row],[PROJETO]],UTDNOVEMBRO!B:P,15,FALSE)</f>
        <v/>
      </c>
      <c r="Y37">
        <f>VLOOKUP(pub?gid_1064752002_single_true_output_csv[[#This Row],[PROJETO]],UTDNOVEMBRO!B:Q,16,FALSE)</f>
        <v/>
      </c>
    </row>
    <row r="38">
      <c r="A38" t="inlineStr">
        <is>
          <t>REVERTON</t>
        </is>
      </c>
      <c r="B38" t="inlineStr">
        <is>
          <t>RENATO</t>
        </is>
      </c>
      <c r="C38" t="inlineStr">
        <is>
          <t>B-1227921</t>
        </is>
      </c>
      <c r="D38" t="inlineStr">
        <is>
          <t>ER-CIND-PR -VARIANTE II-RURAL</t>
        </is>
      </c>
      <c r="E38" t="inlineStr">
        <is>
          <t>SÃO GABRIEL</t>
        </is>
      </c>
      <c r="F38" t="inlineStr">
        <is>
          <t>QLP</t>
        </is>
      </c>
      <c r="G38" t="inlineStr">
        <is>
          <t>ENERGIZADA</t>
        </is>
      </c>
      <c r="H38" t="inlineStr">
        <is>
          <t>5</t>
        </is>
      </c>
      <c r="I38" t="inlineStr">
        <is>
          <t>03/11/2025</t>
        </is>
      </c>
      <c r="J38" t="inlineStr">
        <is>
          <t>03/11/2025</t>
        </is>
      </c>
      <c r="K38" t="inlineStr">
        <is>
          <t>ENERGIZADA</t>
        </is>
      </c>
      <c r="N38" t="inlineStr">
        <is>
          <t>5</t>
        </is>
      </c>
      <c r="O38" t="inlineStr">
        <is>
          <t>5</t>
        </is>
      </c>
      <c r="P38">
        <f>VLOOKUP(pub?gid_1064752002_single_true_output_csv[[#This Row],[PROJETO]],UTDNOVEMBRO!B:AQ,42,FALSE)</f>
        <v/>
      </c>
      <c r="Q38">
        <f>VLOOKUP(pub?gid_1064752002_single_true_output_csv[[#This Row],[PROJETO]],UTDNOVEMBRO!B:AR,43,FALSE)</f>
        <v/>
      </c>
      <c r="R38">
        <f>VLOOKUP(pub?gid_1064752002_single_true_output_csv[[#This Row],[PROJETO]],UTDNOVEMBRO!B:AC,28,FALSE)</f>
        <v/>
      </c>
      <c r="S38">
        <f>VLOOKUP(pub?gid_1064752002_single_true_output_csv[[#This Row],[PROJETO]],UTDNOVEMBRO!B:C,2,FALSE)</f>
        <v/>
      </c>
      <c r="T38">
        <f>VLOOKUP(pub?gid_1064752002_single_true_output_csv[[#This Row],[PROJETO]],UTDNOVEMBRO!B:D,3,FALSE)</f>
        <v/>
      </c>
      <c r="U38">
        <f>VLOOKUP(pub?gid_1064752002_single_true_output_csv[[#This Row],[PROJETO]],UTDNOVEMBRO!B:K,10,FALSE)</f>
        <v/>
      </c>
      <c r="V38">
        <f>VLOOKUP(pub?gid_1064752002_single_true_output_csv[[#This Row],[PROJETO]],UTDNOVEMBRO!B:N,13,FALSE)</f>
        <v/>
      </c>
      <c r="W38">
        <f>VLOOKUP(pub?gid_1064752002_single_true_output_csv[[#This Row],[PROJETO]],UTDNOVEMBRO!B:O,14,FALSE)</f>
        <v/>
      </c>
      <c r="X38">
        <f>VLOOKUP(pub?gid_1064752002_single_true_output_csv[[#This Row],[PROJETO]],UTDNOVEMBRO!B:P,15,FALSE)</f>
        <v/>
      </c>
      <c r="Y38">
        <f>VLOOKUP(pub?gid_1064752002_single_true_output_csv[[#This Row],[PROJETO]],UTDNOVEMBRO!B:Q,16,FALSE)</f>
        <v/>
      </c>
    </row>
    <row r="39">
      <c r="A39" t="inlineStr">
        <is>
          <t>GIORLAN</t>
        </is>
      </c>
      <c r="B39" t="inlineStr">
        <is>
          <t>RENATO</t>
        </is>
      </c>
      <c r="C39" t="inlineStr">
        <is>
          <t>B-1228914</t>
        </is>
      </c>
      <c r="D39" t="inlineStr">
        <is>
          <t>ER-CIND-POV-CANOAOZINHO-RURAL</t>
        </is>
      </c>
      <c r="E39" t="inlineStr">
        <is>
          <t>PRESIDENTE DUTRA</t>
        </is>
      </c>
      <c r="F39" t="inlineStr">
        <is>
          <t>QLP</t>
        </is>
      </c>
      <c r="G39" t="inlineStr">
        <is>
          <t>DP 11/11 - ADF EM REDE BT</t>
        </is>
      </c>
      <c r="H39" t="inlineStr">
        <is>
          <t>6</t>
        </is>
      </c>
      <c r="I39" t="inlineStr">
        <is>
          <t>06/11/2025</t>
        </is>
      </c>
      <c r="J39" t="inlineStr">
        <is>
          <t>11/11/2025</t>
        </is>
      </c>
      <c r="K39" t="inlineStr">
        <is>
          <t>ATUANDO</t>
        </is>
      </c>
      <c r="L39" t="inlineStr">
        <is>
          <t>DP</t>
        </is>
      </c>
      <c r="N39" t="inlineStr">
        <is>
          <t>6</t>
        </is>
      </c>
      <c r="O39" t="inlineStr">
        <is>
          <t>6</t>
        </is>
      </c>
      <c r="P39">
        <f>VLOOKUP(pub?gid_1064752002_single_true_output_csv[[#This Row],[PROJETO]],UTDNOVEMBRO!B:AQ,42,FALSE)</f>
        <v/>
      </c>
      <c r="Q39">
        <f>VLOOKUP(pub?gid_1064752002_single_true_output_csv[[#This Row],[PROJETO]],UTDNOVEMBRO!B:AR,43,FALSE)</f>
        <v/>
      </c>
      <c r="R39">
        <f>VLOOKUP(pub?gid_1064752002_single_true_output_csv[[#This Row],[PROJETO]],UTDNOVEMBRO!B:AC,28,FALSE)</f>
        <v/>
      </c>
      <c r="S39">
        <f>VLOOKUP(pub?gid_1064752002_single_true_output_csv[[#This Row],[PROJETO]],UTDNOVEMBRO!B:C,2,FALSE)</f>
        <v/>
      </c>
      <c r="T39">
        <f>VLOOKUP(pub?gid_1064752002_single_true_output_csv[[#This Row],[PROJETO]],UTDNOVEMBRO!B:D,3,FALSE)</f>
        <v/>
      </c>
      <c r="U39">
        <f>VLOOKUP(pub?gid_1064752002_single_true_output_csv[[#This Row],[PROJETO]],UTDNOVEMBRO!B:K,10,FALSE)</f>
        <v/>
      </c>
      <c r="V39">
        <f>VLOOKUP(pub?gid_1064752002_single_true_output_csv[[#This Row],[PROJETO]],UTDNOVEMBRO!B:N,13,FALSE)</f>
        <v/>
      </c>
      <c r="W39">
        <f>VLOOKUP(pub?gid_1064752002_single_true_output_csv[[#This Row],[PROJETO]],UTDNOVEMBRO!B:O,14,FALSE)</f>
        <v/>
      </c>
      <c r="X39">
        <f>VLOOKUP(pub?gid_1064752002_single_true_output_csv[[#This Row],[PROJETO]],UTDNOVEMBRO!B:P,15,FALSE)</f>
        <v/>
      </c>
      <c r="Y39">
        <f>VLOOKUP(pub?gid_1064752002_single_true_output_csv[[#This Row],[PROJETO]],UTDNOVEMBRO!B:Q,16,FALSE)</f>
        <v/>
      </c>
    </row>
    <row r="40">
      <c r="A40" t="inlineStr">
        <is>
          <t>IRISMAR</t>
        </is>
      </c>
      <c r="B40" t="inlineStr">
        <is>
          <t>HIAGO</t>
        </is>
      </c>
      <c r="C40" t="inlineStr">
        <is>
          <t>B-1228616</t>
        </is>
      </c>
      <c r="D40" t="inlineStr">
        <is>
          <t>ER-CIND-POV-LICURI DO MULATINHO-RURAL</t>
        </is>
      </c>
      <c r="E40" t="inlineStr">
        <is>
          <t>IBITITÁ</t>
        </is>
      </c>
      <c r="F40" t="inlineStr">
        <is>
          <t>QLP</t>
        </is>
      </c>
      <c r="G40" t="inlineStr">
        <is>
          <t>DP 28/11 - ADF N3 PARA N4 EM POSTE EXISTENTE 3X1/0 13,8Kv</t>
        </is>
      </c>
      <c r="H40" t="inlineStr">
        <is>
          <t>19</t>
        </is>
      </c>
      <c r="I40" t="inlineStr">
        <is>
          <t>07/11/2025</t>
        </is>
      </c>
      <c r="J40" t="inlineStr">
        <is>
          <t>28/11/2025</t>
        </is>
      </c>
      <c r="K40" t="inlineStr">
        <is>
          <t>ATUANDO</t>
        </is>
      </c>
      <c r="L40" t="inlineStr">
        <is>
          <t>DP/LV</t>
        </is>
      </c>
      <c r="N40" t="inlineStr">
        <is>
          <t>1</t>
        </is>
      </c>
      <c r="O40" t="inlineStr">
        <is>
          <t>0</t>
        </is>
      </c>
      <c r="P40">
        <f>VLOOKUP(pub?gid_1064752002_single_true_output_csv[[#This Row],[PROJETO]],UTDNOVEMBRO!B:AQ,42,FALSE)</f>
        <v/>
      </c>
      <c r="Q40">
        <f>VLOOKUP(pub?gid_1064752002_single_true_output_csv[[#This Row],[PROJETO]],UTDNOVEMBRO!B:AR,43,FALSE)</f>
        <v/>
      </c>
      <c r="R40">
        <f>VLOOKUP(pub?gid_1064752002_single_true_output_csv[[#This Row],[PROJETO]],UTDNOVEMBRO!B:AC,28,FALSE)</f>
        <v/>
      </c>
      <c r="S40">
        <f>VLOOKUP(pub?gid_1064752002_single_true_output_csv[[#This Row],[PROJETO]],UTDNOVEMBRO!B:C,2,FALSE)</f>
        <v/>
      </c>
      <c r="T40">
        <f>VLOOKUP(pub?gid_1064752002_single_true_output_csv[[#This Row],[PROJETO]],UTDNOVEMBRO!B:D,3,FALSE)</f>
        <v/>
      </c>
      <c r="U40">
        <f>VLOOKUP(pub?gid_1064752002_single_true_output_csv[[#This Row],[PROJETO]],UTDNOVEMBRO!B:K,10,FALSE)</f>
        <v/>
      </c>
      <c r="V40">
        <f>VLOOKUP(pub?gid_1064752002_single_true_output_csv[[#This Row],[PROJETO]],UTDNOVEMBRO!B:N,13,FALSE)</f>
        <v/>
      </c>
      <c r="W40">
        <f>VLOOKUP(pub?gid_1064752002_single_true_output_csv[[#This Row],[PROJETO]],UTDNOVEMBRO!B:O,14,FALSE)</f>
        <v/>
      </c>
      <c r="X40">
        <f>VLOOKUP(pub?gid_1064752002_single_true_output_csv[[#This Row],[PROJETO]],UTDNOVEMBRO!B:P,15,FALSE)</f>
        <v/>
      </c>
      <c r="Y40">
        <f>VLOOKUP(pub?gid_1064752002_single_true_output_csv[[#This Row],[PROJETO]],UTDNOVEMBRO!B:Q,16,FALSE)</f>
        <v/>
      </c>
    </row>
    <row r="41">
      <c r="A41" t="inlineStr">
        <is>
          <t>REVERTON</t>
        </is>
      </c>
      <c r="B41" t="inlineStr">
        <is>
          <t>RENATO</t>
        </is>
      </c>
      <c r="C41" t="inlineStr">
        <is>
          <t>B-1230240</t>
        </is>
      </c>
      <c r="D41" t="inlineStr">
        <is>
          <t>RR-CIND-POV-TABOA DO MOINHO-RURAL</t>
        </is>
      </c>
      <c r="E41" t="inlineStr">
        <is>
          <t>SÃO GABRIEL</t>
        </is>
      </c>
      <c r="F41" t="inlineStr">
        <is>
          <t>QLP</t>
        </is>
      </c>
      <c r="G41" t="inlineStr">
        <is>
          <t>INTERCALAR POSTE 11/600 N1-3 EM REDE 3X2/0 13,8Kv</t>
        </is>
      </c>
      <c r="H41" t="inlineStr">
        <is>
          <t>11</t>
        </is>
      </c>
      <c r="I41" t="inlineStr">
        <is>
          <t>06/11/2025</t>
        </is>
      </c>
      <c r="J41" t="inlineStr">
        <is>
          <t>12/11/2025</t>
        </is>
      </c>
      <c r="K41" t="inlineStr">
        <is>
          <t>ATUANDO</t>
        </is>
      </c>
      <c r="L41" t="inlineStr">
        <is>
          <t>LV</t>
        </is>
      </c>
      <c r="M41" t="inlineStr">
        <is>
          <t>REALIZADO</t>
        </is>
      </c>
      <c r="N41" t="inlineStr">
        <is>
          <t>11</t>
        </is>
      </c>
      <c r="O41" t="inlineStr">
        <is>
          <t>10</t>
        </is>
      </c>
      <c r="P41">
        <f>VLOOKUP(pub?gid_1064752002_single_true_output_csv[[#This Row],[PROJETO]],UTDNOVEMBRO!B:AQ,42,FALSE)</f>
        <v/>
      </c>
      <c r="Q41">
        <f>VLOOKUP(pub?gid_1064752002_single_true_output_csv[[#This Row],[PROJETO]],UTDNOVEMBRO!B:AR,43,FALSE)</f>
        <v/>
      </c>
      <c r="R41">
        <f>VLOOKUP(pub?gid_1064752002_single_true_output_csv[[#This Row],[PROJETO]],UTDNOVEMBRO!B:AC,28,FALSE)</f>
        <v/>
      </c>
      <c r="S41">
        <f>VLOOKUP(pub?gid_1064752002_single_true_output_csv[[#This Row],[PROJETO]],UTDNOVEMBRO!B:C,2,FALSE)</f>
        <v/>
      </c>
      <c r="T41">
        <f>VLOOKUP(pub?gid_1064752002_single_true_output_csv[[#This Row],[PROJETO]],UTDNOVEMBRO!B:D,3,FALSE)</f>
        <v/>
      </c>
      <c r="U41">
        <f>VLOOKUP(pub?gid_1064752002_single_true_output_csv[[#This Row],[PROJETO]],UTDNOVEMBRO!B:K,10,FALSE)</f>
        <v/>
      </c>
      <c r="V41">
        <f>VLOOKUP(pub?gid_1064752002_single_true_output_csv[[#This Row],[PROJETO]],UTDNOVEMBRO!B:N,13,FALSE)</f>
        <v/>
      </c>
      <c r="W41">
        <f>VLOOKUP(pub?gid_1064752002_single_true_output_csv[[#This Row],[PROJETO]],UTDNOVEMBRO!B:O,14,FALSE)</f>
        <v/>
      </c>
      <c r="X41">
        <f>VLOOKUP(pub?gid_1064752002_single_true_output_csv[[#This Row],[PROJETO]],UTDNOVEMBRO!B:P,15,FALSE)</f>
        <v/>
      </c>
      <c r="Y41">
        <f>VLOOKUP(pub?gid_1064752002_single_true_output_csv[[#This Row],[PROJETO]],UTDNOVEMBRO!B:Q,16,FALSE)</f>
        <v/>
      </c>
    </row>
    <row r="42">
      <c r="A42" t="inlineStr">
        <is>
          <t>ELIEZER</t>
        </is>
      </c>
      <c r="B42" t="inlineStr">
        <is>
          <t>RENATO</t>
        </is>
      </c>
      <c r="C42" t="inlineStr">
        <is>
          <t>B-1231704</t>
        </is>
      </c>
      <c r="D42" t="inlineStr">
        <is>
          <t>ER-CIND-POV-ANGICOS-RURAL</t>
        </is>
      </c>
      <c r="E42" t="inlineStr">
        <is>
          <t>XIQUE-XIQUE</t>
        </is>
      </c>
      <c r="F42" t="inlineStr">
        <is>
          <t>JUDICIAL</t>
        </is>
      </c>
      <c r="G42" t="inlineStr">
        <is>
          <t>N3M EM POSTE EXISTENTE EM REDE 2X04 13,8Kv - CAVA EM ROCHA</t>
        </is>
      </c>
      <c r="H42" t="inlineStr">
        <is>
          <t>41</t>
        </is>
      </c>
      <c r="I42" t="inlineStr">
        <is>
          <t>10/11/2025</t>
        </is>
      </c>
      <c r="J42" t="inlineStr">
        <is>
          <t>30/11/2025</t>
        </is>
      </c>
      <c r="K42" t="inlineStr">
        <is>
          <t>PROGRAMADA</t>
        </is>
      </c>
      <c r="L42" t="inlineStr">
        <is>
          <t>LV</t>
        </is>
      </c>
      <c r="N42" t="inlineStr">
        <is>
          <t>0</t>
        </is>
      </c>
      <c r="O42" t="inlineStr">
        <is>
          <t>0</t>
        </is>
      </c>
      <c r="P42">
        <f>VLOOKUP(pub?gid_1064752002_single_true_output_csv[[#This Row],[PROJETO]],UTDNOVEMBRO!B:AQ,42,FALSE)</f>
        <v/>
      </c>
      <c r="Q42">
        <f>VLOOKUP(pub?gid_1064752002_single_true_output_csv[[#This Row],[PROJETO]],UTDNOVEMBRO!B:AR,43,FALSE)</f>
        <v/>
      </c>
      <c r="R42">
        <f>VLOOKUP(pub?gid_1064752002_single_true_output_csv[[#This Row],[PROJETO]],UTDNOVEMBRO!B:AC,28,FALSE)</f>
        <v/>
      </c>
      <c r="S42">
        <f>VLOOKUP(pub?gid_1064752002_single_true_output_csv[[#This Row],[PROJETO]],UTDNOVEMBRO!B:C,2,FALSE)</f>
        <v/>
      </c>
      <c r="T42">
        <f>VLOOKUP(pub?gid_1064752002_single_true_output_csv[[#This Row],[PROJETO]],UTDNOVEMBRO!B:D,3,FALSE)</f>
        <v/>
      </c>
      <c r="U42">
        <f>VLOOKUP(pub?gid_1064752002_single_true_output_csv[[#This Row],[PROJETO]],UTDNOVEMBRO!B:K,10,FALSE)</f>
        <v/>
      </c>
      <c r="V42">
        <f>VLOOKUP(pub?gid_1064752002_single_true_output_csv[[#This Row],[PROJETO]],UTDNOVEMBRO!B:N,13,FALSE)</f>
        <v/>
      </c>
      <c r="W42">
        <f>VLOOKUP(pub?gid_1064752002_single_true_output_csv[[#This Row],[PROJETO]],UTDNOVEMBRO!B:O,14,FALSE)</f>
        <v/>
      </c>
      <c r="X42">
        <f>VLOOKUP(pub?gid_1064752002_single_true_output_csv[[#This Row],[PROJETO]],UTDNOVEMBRO!B:P,15,FALSE)</f>
        <v/>
      </c>
      <c r="Y42">
        <f>VLOOKUP(pub?gid_1064752002_single_true_output_csv[[#This Row],[PROJETO]],UTDNOVEMBRO!B:Q,16,FALSE)</f>
        <v/>
      </c>
    </row>
    <row r="43">
      <c r="A43" t="inlineStr">
        <is>
          <t>JARBAS</t>
        </is>
      </c>
      <c r="B43" t="inlineStr">
        <is>
          <t>HIAGO</t>
        </is>
      </c>
      <c r="C43" t="inlineStr">
        <is>
          <t>B-1230875</t>
        </is>
      </c>
      <c r="D43" t="inlineStr">
        <is>
          <t>UB-CIND-RUA-HERMILINO MACHADO-URBANA</t>
        </is>
      </c>
      <c r="E43" t="inlineStr">
        <is>
          <t>BARRO ALTO</t>
        </is>
      </c>
      <c r="F43" t="inlineStr">
        <is>
          <t>JUDICIAL</t>
        </is>
      </c>
      <c r="G43" t="inlineStr">
        <is>
          <t>ENERGIZADA</t>
        </is>
      </c>
      <c r="H43" t="inlineStr">
        <is>
          <t>4</t>
        </is>
      </c>
      <c r="I43" t="inlineStr">
        <is>
          <t>03/11/2025</t>
        </is>
      </c>
      <c r="J43" t="inlineStr">
        <is>
          <t>04/11/2025</t>
        </is>
      </c>
      <c r="K43" t="inlineStr">
        <is>
          <t>ENERGIZADA</t>
        </is>
      </c>
      <c r="N43" t="inlineStr">
        <is>
          <t>4</t>
        </is>
      </c>
      <c r="O43" t="inlineStr">
        <is>
          <t>4</t>
        </is>
      </c>
      <c r="P43">
        <f>VLOOKUP(pub?gid_1064752002_single_true_output_csv[[#This Row],[PROJETO]],UTDNOVEMBRO!B:AQ,42,FALSE)</f>
        <v/>
      </c>
      <c r="Q43">
        <f>VLOOKUP(pub?gid_1064752002_single_true_output_csv[[#This Row],[PROJETO]],UTDNOVEMBRO!B:AR,43,FALSE)</f>
        <v/>
      </c>
      <c r="R43">
        <f>VLOOKUP(pub?gid_1064752002_single_true_output_csv[[#This Row],[PROJETO]],UTDNOVEMBRO!B:AC,28,FALSE)</f>
        <v/>
      </c>
      <c r="S43">
        <f>VLOOKUP(pub?gid_1064752002_single_true_output_csv[[#This Row],[PROJETO]],UTDNOVEMBRO!B:C,2,FALSE)</f>
        <v/>
      </c>
      <c r="T43">
        <f>VLOOKUP(pub?gid_1064752002_single_true_output_csv[[#This Row],[PROJETO]],UTDNOVEMBRO!B:D,3,FALSE)</f>
        <v/>
      </c>
      <c r="U43">
        <f>VLOOKUP(pub?gid_1064752002_single_true_output_csv[[#This Row],[PROJETO]],UTDNOVEMBRO!B:K,10,FALSE)</f>
        <v/>
      </c>
      <c r="V43">
        <f>VLOOKUP(pub?gid_1064752002_single_true_output_csv[[#This Row],[PROJETO]],UTDNOVEMBRO!B:N,13,FALSE)</f>
        <v/>
      </c>
      <c r="W43">
        <f>VLOOKUP(pub?gid_1064752002_single_true_output_csv[[#This Row],[PROJETO]],UTDNOVEMBRO!B:O,14,FALSE)</f>
        <v/>
      </c>
      <c r="X43">
        <f>VLOOKUP(pub?gid_1064752002_single_true_output_csv[[#This Row],[PROJETO]],UTDNOVEMBRO!B:P,15,FALSE)</f>
        <v/>
      </c>
      <c r="Y43">
        <f>VLOOKUP(pub?gid_1064752002_single_true_output_csv[[#This Row],[PROJETO]],UTDNOVEMBRO!B:Q,16,FALSE)</f>
        <v/>
      </c>
    </row>
    <row r="44">
      <c r="A44" t="inlineStr">
        <is>
          <t>ALAN</t>
        </is>
      </c>
      <c r="B44" t="inlineStr">
        <is>
          <t>DJALMA</t>
        </is>
      </c>
      <c r="C44" t="inlineStr">
        <is>
          <t>B-1052871</t>
        </is>
      </c>
      <c r="D44" t="inlineStr">
        <is>
          <t>MP-CCOL-ET-MORRO DO HIGINO-RURAL</t>
        </is>
      </c>
      <c r="E44" t="inlineStr">
        <is>
          <t>JUSSARA</t>
        </is>
      </c>
      <c r="F44" t="inlineStr">
        <is>
          <t>JUDICIAL</t>
        </is>
      </c>
      <c r="H44" t="inlineStr">
        <is>
          <t>48</t>
        </is>
      </c>
      <c r="J44" t="inlineStr">
        <is>
          <t>30/11/2025</t>
        </is>
      </c>
      <c r="K44" t="inlineStr">
        <is>
          <t>ATUANDO</t>
        </is>
      </c>
      <c r="L44" t="inlineStr">
        <is>
          <t>LV</t>
        </is>
      </c>
      <c r="N44" t="inlineStr">
        <is>
          <t>0</t>
        </is>
      </c>
      <c r="O44" t="inlineStr">
        <is>
          <t>0</t>
        </is>
      </c>
      <c r="P44">
        <f>VLOOKUP(pub?gid_1064752002_single_true_output_csv[[#This Row],[PROJETO]],UTDNOVEMBRO!B:AQ,42,FALSE)</f>
        <v/>
      </c>
      <c r="Q44">
        <f>VLOOKUP(pub?gid_1064752002_single_true_output_csv[[#This Row],[PROJETO]],UTDNOVEMBRO!B:AR,43,FALSE)</f>
        <v/>
      </c>
      <c r="R44">
        <f>VLOOKUP(pub?gid_1064752002_single_true_output_csv[[#This Row],[PROJETO]],UTDNOVEMBRO!B:AC,28,FALSE)</f>
        <v/>
      </c>
      <c r="S44">
        <f>VLOOKUP(pub?gid_1064752002_single_true_output_csv[[#This Row],[PROJETO]],UTDNOVEMBRO!B:C,2,FALSE)</f>
        <v/>
      </c>
      <c r="T44">
        <f>VLOOKUP(pub?gid_1064752002_single_true_output_csv[[#This Row],[PROJETO]],UTDNOVEMBRO!B:D,3,FALSE)</f>
        <v/>
      </c>
      <c r="U44">
        <f>VLOOKUP(pub?gid_1064752002_single_true_output_csv[[#This Row],[PROJETO]],UTDNOVEMBRO!B:K,10,FALSE)</f>
        <v/>
      </c>
      <c r="V44">
        <f>VLOOKUP(pub?gid_1064752002_single_true_output_csv[[#This Row],[PROJETO]],UTDNOVEMBRO!B:N,13,FALSE)</f>
        <v/>
      </c>
      <c r="W44">
        <f>VLOOKUP(pub?gid_1064752002_single_true_output_csv[[#This Row],[PROJETO]],UTDNOVEMBRO!B:O,14,FALSE)</f>
        <v/>
      </c>
      <c r="X44">
        <f>VLOOKUP(pub?gid_1064752002_single_true_output_csv[[#This Row],[PROJETO]],UTDNOVEMBRO!B:P,15,FALSE)</f>
        <v/>
      </c>
      <c r="Y44">
        <f>VLOOKUP(pub?gid_1064752002_single_true_output_csv[[#This Row],[PROJETO]],UTDNOVEMBRO!B:Q,16,FALSE)</f>
        <v/>
      </c>
    </row>
    <row r="45">
      <c r="A45" t="inlineStr">
        <is>
          <t>GIORLAN</t>
        </is>
      </c>
      <c r="B45" t="inlineStr">
        <is>
          <t>RENATO</t>
        </is>
      </c>
      <c r="C45" t="inlineStr">
        <is>
          <t>B-1201802</t>
        </is>
      </c>
      <c r="D45" t="inlineStr">
        <is>
          <t>RR-CIND-FAZ-PAU DARCO-RURAL</t>
        </is>
      </c>
      <c r="E45" t="inlineStr">
        <is>
          <t>LAPÃO</t>
        </is>
      </c>
      <c r="F45" t="inlineStr">
        <is>
          <t>QLP</t>
        </is>
      </c>
      <c r="G45" t="inlineStr">
        <is>
          <t xml:space="preserve">N3M EM POSTE EXISTENTE EM REDE 2X04 13,8Kv </t>
        </is>
      </c>
      <c r="H45" t="inlineStr">
        <is>
          <t>24</t>
        </is>
      </c>
      <c r="I45" t="inlineStr">
        <is>
          <t>07/11/2025</t>
        </is>
      </c>
      <c r="J45" t="inlineStr">
        <is>
          <t>30/11/2025</t>
        </is>
      </c>
      <c r="K45" t="inlineStr">
        <is>
          <t>ATUANDO</t>
        </is>
      </c>
      <c r="L45" t="inlineStr">
        <is>
          <t>LV</t>
        </is>
      </c>
      <c r="N45" t="inlineStr">
        <is>
          <t>0</t>
        </is>
      </c>
      <c r="O45" t="inlineStr">
        <is>
          <t>0</t>
        </is>
      </c>
      <c r="P45">
        <f>VLOOKUP(pub?gid_1064752002_single_true_output_csv[[#This Row],[PROJETO]],UTDNOVEMBRO!B:AQ,42,FALSE)</f>
        <v/>
      </c>
      <c r="Q45">
        <f>VLOOKUP(pub?gid_1064752002_single_true_output_csv[[#This Row],[PROJETO]],UTDNOVEMBRO!B:AR,43,FALSE)</f>
        <v/>
      </c>
      <c r="R45">
        <f>VLOOKUP(pub?gid_1064752002_single_true_output_csv[[#This Row],[PROJETO]],UTDNOVEMBRO!B:AC,28,FALSE)</f>
        <v/>
      </c>
      <c r="S45">
        <f>VLOOKUP(pub?gid_1064752002_single_true_output_csv[[#This Row],[PROJETO]],UTDNOVEMBRO!B:C,2,FALSE)</f>
        <v/>
      </c>
      <c r="T45">
        <f>VLOOKUP(pub?gid_1064752002_single_true_output_csv[[#This Row],[PROJETO]],UTDNOVEMBRO!B:D,3,FALSE)</f>
        <v/>
      </c>
      <c r="U45">
        <f>VLOOKUP(pub?gid_1064752002_single_true_output_csv[[#This Row],[PROJETO]],UTDNOVEMBRO!B:K,10,FALSE)</f>
        <v/>
      </c>
      <c r="V45">
        <f>VLOOKUP(pub?gid_1064752002_single_true_output_csv[[#This Row],[PROJETO]],UTDNOVEMBRO!B:N,13,FALSE)</f>
        <v/>
      </c>
      <c r="W45">
        <f>VLOOKUP(pub?gid_1064752002_single_true_output_csv[[#This Row],[PROJETO]],UTDNOVEMBRO!B:O,14,FALSE)</f>
        <v/>
      </c>
      <c r="X45">
        <f>VLOOKUP(pub?gid_1064752002_single_true_output_csv[[#This Row],[PROJETO]],UTDNOVEMBRO!B:P,15,FALSE)</f>
        <v/>
      </c>
      <c r="Y45">
        <f>VLOOKUP(pub?gid_1064752002_single_true_output_csv[[#This Row],[PROJETO]],UTDNOVEMBRO!B:Q,16,FALSE)</f>
        <v/>
      </c>
    </row>
    <row r="46">
      <c r="C46" t="inlineStr">
        <is>
          <t>B-1234061</t>
        </is>
      </c>
      <c r="D46" t="inlineStr">
        <is>
          <t>IT-CIND-POV-CAFARNAUNZINHO-RURAL</t>
        </is>
      </c>
      <c r="E46" t="inlineStr">
        <is>
          <t>CAFARNAUM</t>
        </is>
      </c>
      <c r="F46" t="inlineStr">
        <is>
          <t>QLP</t>
        </is>
      </c>
      <c r="G46" t="inlineStr">
        <is>
          <t>OBRA CARTERIA DE DEZEMBRO</t>
        </is>
      </c>
      <c r="H46" t="inlineStr">
        <is>
          <t>0</t>
        </is>
      </c>
      <c r="K46" t="inlineStr">
        <is>
          <t>ATRASADA</t>
        </is>
      </c>
      <c r="N46" t="inlineStr">
        <is>
          <t>0</t>
        </is>
      </c>
      <c r="O46" t="inlineStr">
        <is>
          <t>0</t>
        </is>
      </c>
      <c r="P46">
        <f>VLOOKUP(pub?gid_1064752002_single_true_output_csv[[#This Row],[PROJETO]],UTDNOVEMBRO!B:AQ,42,FALSE)</f>
        <v/>
      </c>
      <c r="Q46">
        <f>VLOOKUP(pub?gid_1064752002_single_true_output_csv[[#This Row],[PROJETO]],UTDNOVEMBRO!B:AR,43,FALSE)</f>
        <v/>
      </c>
      <c r="R46">
        <f>VLOOKUP(pub?gid_1064752002_single_true_output_csv[[#This Row],[PROJETO]],UTDNOVEMBRO!B:AC,28,FALSE)</f>
        <v/>
      </c>
      <c r="S46">
        <f>VLOOKUP(pub?gid_1064752002_single_true_output_csv[[#This Row],[PROJETO]],UTDNOVEMBRO!B:C,2,FALSE)</f>
        <v/>
      </c>
      <c r="T46">
        <f>VLOOKUP(pub?gid_1064752002_single_true_output_csv[[#This Row],[PROJETO]],UTDNOVEMBRO!B:D,3,FALSE)</f>
        <v/>
      </c>
      <c r="U46">
        <f>VLOOKUP(pub?gid_1064752002_single_true_output_csv[[#This Row],[PROJETO]],UTDNOVEMBRO!B:K,10,FALSE)</f>
        <v/>
      </c>
      <c r="V46">
        <f>VLOOKUP(pub?gid_1064752002_single_true_output_csv[[#This Row],[PROJETO]],UTDNOVEMBRO!B:N,13,FALSE)</f>
        <v/>
      </c>
      <c r="W46">
        <f>VLOOKUP(pub?gid_1064752002_single_true_output_csv[[#This Row],[PROJETO]],UTDNOVEMBRO!B:O,14,FALSE)</f>
        <v/>
      </c>
      <c r="X46">
        <f>VLOOKUP(pub?gid_1064752002_single_true_output_csv[[#This Row],[PROJETO]],UTDNOVEMBRO!B:P,15,FALSE)</f>
        <v/>
      </c>
      <c r="Y46">
        <f>VLOOKUP(pub?gid_1064752002_single_true_output_csv[[#This Row],[PROJETO]],UTDNOVEMBRO!B:Q,16,FALSE)</f>
        <v/>
      </c>
    </row>
    <row r="47">
      <c r="A47" t="inlineStr">
        <is>
          <t>ENES</t>
        </is>
      </c>
      <c r="B47" t="inlineStr">
        <is>
          <t>RENATO</t>
        </is>
      </c>
      <c r="C47" t="inlineStr">
        <is>
          <t>B-1233382</t>
        </is>
      </c>
      <c r="D47" t="inlineStr">
        <is>
          <t>ER-CIND-RUA-PERNAMBUCO-RURAL</t>
        </is>
      </c>
      <c r="E47" t="inlineStr">
        <is>
          <t>LAPÃO</t>
        </is>
      </c>
      <c r="F47" t="inlineStr">
        <is>
          <t>QLP</t>
        </is>
      </c>
      <c r="H47" t="inlineStr">
        <is>
          <t>31</t>
        </is>
      </c>
      <c r="I47" t="inlineStr">
        <is>
          <t>07/11/2025</t>
        </is>
      </c>
      <c r="J47" t="inlineStr">
        <is>
          <t>21/11/2025</t>
        </is>
      </c>
      <c r="K47" t="inlineStr">
        <is>
          <t>ATUANDO</t>
        </is>
      </c>
      <c r="L47" t="inlineStr">
        <is>
          <t>LV</t>
        </is>
      </c>
      <c r="N47" t="inlineStr">
        <is>
          <t>8</t>
        </is>
      </c>
      <c r="O47" t="inlineStr">
        <is>
          <t>0</t>
        </is>
      </c>
      <c r="P47">
        <f>VLOOKUP(pub?gid_1064752002_single_true_output_csv[[#This Row],[PROJETO]],UTDNOVEMBRO!B:AQ,42,FALSE)</f>
        <v/>
      </c>
      <c r="Q47">
        <f>VLOOKUP(pub?gid_1064752002_single_true_output_csv[[#This Row],[PROJETO]],UTDNOVEMBRO!B:AR,43,FALSE)</f>
        <v/>
      </c>
      <c r="R47">
        <f>VLOOKUP(pub?gid_1064752002_single_true_output_csv[[#This Row],[PROJETO]],UTDNOVEMBRO!B:AC,28,FALSE)</f>
        <v/>
      </c>
      <c r="S47">
        <f>VLOOKUP(pub?gid_1064752002_single_true_output_csv[[#This Row],[PROJETO]],UTDNOVEMBRO!B:C,2,FALSE)</f>
        <v/>
      </c>
      <c r="T47">
        <f>VLOOKUP(pub?gid_1064752002_single_true_output_csv[[#This Row],[PROJETO]],UTDNOVEMBRO!B:D,3,FALSE)</f>
        <v/>
      </c>
      <c r="U47">
        <f>VLOOKUP(pub?gid_1064752002_single_true_output_csv[[#This Row],[PROJETO]],UTDNOVEMBRO!B:K,10,FALSE)</f>
        <v/>
      </c>
      <c r="V47">
        <f>VLOOKUP(pub?gid_1064752002_single_true_output_csv[[#This Row],[PROJETO]],UTDNOVEMBRO!B:N,13,FALSE)</f>
        <v/>
      </c>
      <c r="W47">
        <f>VLOOKUP(pub?gid_1064752002_single_true_output_csv[[#This Row],[PROJETO]],UTDNOVEMBRO!B:O,14,FALSE)</f>
        <v/>
      </c>
      <c r="X47">
        <f>VLOOKUP(pub?gid_1064752002_single_true_output_csv[[#This Row],[PROJETO]],UTDNOVEMBRO!B:P,15,FALSE)</f>
        <v/>
      </c>
      <c r="Y47">
        <f>VLOOKUP(pub?gid_1064752002_single_true_output_csv[[#This Row],[PROJETO]],UTDNOVEMBRO!B:Q,16,FALSE)</f>
        <v/>
      </c>
    </row>
    <row r="48">
      <c r="B48" t="inlineStr">
        <is>
          <t>DJALMA</t>
        </is>
      </c>
      <c r="C48" t="inlineStr">
        <is>
          <t>B-1233352</t>
        </is>
      </c>
      <c r="D48" t="inlineStr">
        <is>
          <t>ER-CIND-POV-FELIX-RURAL</t>
        </is>
      </c>
      <c r="E48" t="inlineStr">
        <is>
          <t>AMÉRICA DOURADA</t>
        </is>
      </c>
      <c r="F48" t="inlineStr">
        <is>
          <t>QLP</t>
        </is>
      </c>
      <c r="H48" t="inlineStr">
        <is>
          <t>41</t>
        </is>
      </c>
      <c r="K48" t="inlineStr">
        <is>
          <t>ATRASADA</t>
        </is>
      </c>
      <c r="N48" t="inlineStr">
        <is>
          <t>0</t>
        </is>
      </c>
      <c r="O48" t="inlineStr">
        <is>
          <t>0</t>
        </is>
      </c>
      <c r="P48">
        <f>VLOOKUP(pub?gid_1064752002_single_true_output_csv[[#This Row],[PROJETO]],UTDNOVEMBRO!B:AQ,42,FALSE)</f>
        <v/>
      </c>
      <c r="Q48">
        <f>VLOOKUP(pub?gid_1064752002_single_true_output_csv[[#This Row],[PROJETO]],UTDNOVEMBRO!B:AR,43,FALSE)</f>
        <v/>
      </c>
      <c r="R48">
        <f>VLOOKUP(pub?gid_1064752002_single_true_output_csv[[#This Row],[PROJETO]],UTDNOVEMBRO!B:AC,28,FALSE)</f>
        <v/>
      </c>
      <c r="S48">
        <f>VLOOKUP(pub?gid_1064752002_single_true_output_csv[[#This Row],[PROJETO]],UTDNOVEMBRO!B:C,2,FALSE)</f>
        <v/>
      </c>
      <c r="T48">
        <f>VLOOKUP(pub?gid_1064752002_single_true_output_csv[[#This Row],[PROJETO]],UTDNOVEMBRO!B:D,3,FALSE)</f>
        <v/>
      </c>
      <c r="U48">
        <f>VLOOKUP(pub?gid_1064752002_single_true_output_csv[[#This Row],[PROJETO]],UTDNOVEMBRO!B:K,10,FALSE)</f>
        <v/>
      </c>
      <c r="V48">
        <f>VLOOKUP(pub?gid_1064752002_single_true_output_csv[[#This Row],[PROJETO]],UTDNOVEMBRO!B:N,13,FALSE)</f>
        <v/>
      </c>
      <c r="W48">
        <f>VLOOKUP(pub?gid_1064752002_single_true_output_csv[[#This Row],[PROJETO]],UTDNOVEMBRO!B:O,14,FALSE)</f>
        <v/>
      </c>
      <c r="X48">
        <f>VLOOKUP(pub?gid_1064752002_single_true_output_csv[[#This Row],[PROJETO]],UTDNOVEMBRO!B:P,15,FALSE)</f>
        <v/>
      </c>
      <c r="Y48">
        <f>VLOOKUP(pub?gid_1064752002_single_true_output_csv[[#This Row],[PROJETO]],UTDNOVEMBRO!B:Q,16,FALSE)</f>
        <v/>
      </c>
    </row>
    <row r="49">
      <c r="C49" t="inlineStr">
        <is>
          <t>B-1233323</t>
        </is>
      </c>
      <c r="D49" t="inlineStr">
        <is>
          <t>ER-CIND-RUA-PEDRO TELES-LOT CAFARNAUM</t>
        </is>
      </c>
      <c r="E49" t="inlineStr">
        <is>
          <t>CAFARNAUM</t>
        </is>
      </c>
      <c r="F49" t="inlineStr">
        <is>
          <t>QLP</t>
        </is>
      </c>
      <c r="G49" t="inlineStr">
        <is>
          <t>OBRA CARTERIA DE DEZEMBRO</t>
        </is>
      </c>
      <c r="H49" t="inlineStr">
        <is>
          <t>2</t>
        </is>
      </c>
      <c r="K49" t="inlineStr">
        <is>
          <t>ATRASADA</t>
        </is>
      </c>
      <c r="N49" t="inlineStr">
        <is>
          <t>0</t>
        </is>
      </c>
      <c r="O49" t="inlineStr">
        <is>
          <t>0</t>
        </is>
      </c>
      <c r="P49">
        <f>VLOOKUP(pub?gid_1064752002_single_true_output_csv[[#This Row],[PROJETO]],UTDNOVEMBRO!B:AQ,42,FALSE)</f>
        <v/>
      </c>
      <c r="Q49">
        <f>VLOOKUP(pub?gid_1064752002_single_true_output_csv[[#This Row],[PROJETO]],UTDNOVEMBRO!B:AR,43,FALSE)</f>
        <v/>
      </c>
      <c r="R49">
        <f>VLOOKUP(pub?gid_1064752002_single_true_output_csv[[#This Row],[PROJETO]],UTDNOVEMBRO!B:AC,28,FALSE)</f>
        <v/>
      </c>
      <c r="S49">
        <f>VLOOKUP(pub?gid_1064752002_single_true_output_csv[[#This Row],[PROJETO]],UTDNOVEMBRO!B:C,2,FALSE)</f>
        <v/>
      </c>
      <c r="T49">
        <f>VLOOKUP(pub?gid_1064752002_single_true_output_csv[[#This Row],[PROJETO]],UTDNOVEMBRO!B:D,3,FALSE)</f>
        <v/>
      </c>
      <c r="U49">
        <f>VLOOKUP(pub?gid_1064752002_single_true_output_csv[[#This Row],[PROJETO]],UTDNOVEMBRO!B:K,10,FALSE)</f>
        <v/>
      </c>
      <c r="V49">
        <f>VLOOKUP(pub?gid_1064752002_single_true_output_csv[[#This Row],[PROJETO]],UTDNOVEMBRO!B:N,13,FALSE)</f>
        <v/>
      </c>
      <c r="W49">
        <f>VLOOKUP(pub?gid_1064752002_single_true_output_csv[[#This Row],[PROJETO]],UTDNOVEMBRO!B:O,14,FALSE)</f>
        <v/>
      </c>
      <c r="X49">
        <f>VLOOKUP(pub?gid_1064752002_single_true_output_csv[[#This Row],[PROJETO]],UTDNOVEMBRO!B:P,15,FALSE)</f>
        <v/>
      </c>
      <c r="Y49">
        <f>VLOOKUP(pub?gid_1064752002_single_true_output_csv[[#This Row],[PROJETO]],UTDNOVEMBRO!B:Q,16,FALSE)</f>
        <v/>
      </c>
    </row>
    <row r="50">
      <c r="C50" t="inlineStr">
        <is>
          <t>B-1233152</t>
        </is>
      </c>
      <c r="D50" t="inlineStr">
        <is>
          <t>ER-CIND-POV-BARAUNAS 4678-BARAUNAS</t>
        </is>
      </c>
      <c r="E50" t="inlineStr">
        <is>
          <t>CAFARNAUM</t>
        </is>
      </c>
      <c r="F50" t="inlineStr">
        <is>
          <t>QLP</t>
        </is>
      </c>
      <c r="G50" t="inlineStr">
        <is>
          <t>OBRA CARTERIA DE DEZEMBRO</t>
        </is>
      </c>
      <c r="H50" t="inlineStr">
        <is>
          <t>2</t>
        </is>
      </c>
      <c r="K50" t="inlineStr">
        <is>
          <t>ATRASADA</t>
        </is>
      </c>
      <c r="N50" t="inlineStr">
        <is>
          <t>0</t>
        </is>
      </c>
      <c r="O50" t="inlineStr">
        <is>
          <t>0</t>
        </is>
      </c>
      <c r="P50">
        <f>VLOOKUP(pub?gid_1064752002_single_true_output_csv[[#This Row],[PROJETO]],UTDNOVEMBRO!B:AQ,42,FALSE)</f>
        <v/>
      </c>
      <c r="Q50">
        <f>VLOOKUP(pub?gid_1064752002_single_true_output_csv[[#This Row],[PROJETO]],UTDNOVEMBRO!B:AR,43,FALSE)</f>
        <v/>
      </c>
      <c r="R50">
        <f>VLOOKUP(pub?gid_1064752002_single_true_output_csv[[#This Row],[PROJETO]],UTDNOVEMBRO!B:AC,28,FALSE)</f>
        <v/>
      </c>
      <c r="S50">
        <f>VLOOKUP(pub?gid_1064752002_single_true_output_csv[[#This Row],[PROJETO]],UTDNOVEMBRO!B:C,2,FALSE)</f>
        <v/>
      </c>
      <c r="T50">
        <f>VLOOKUP(pub?gid_1064752002_single_true_output_csv[[#This Row],[PROJETO]],UTDNOVEMBRO!B:D,3,FALSE)</f>
        <v/>
      </c>
      <c r="U50">
        <f>VLOOKUP(pub?gid_1064752002_single_true_output_csv[[#This Row],[PROJETO]],UTDNOVEMBRO!B:K,10,FALSE)</f>
        <v/>
      </c>
      <c r="V50">
        <f>VLOOKUP(pub?gid_1064752002_single_true_output_csv[[#This Row],[PROJETO]],UTDNOVEMBRO!B:N,13,FALSE)</f>
        <v/>
      </c>
      <c r="W50">
        <f>VLOOKUP(pub?gid_1064752002_single_true_output_csv[[#This Row],[PROJETO]],UTDNOVEMBRO!B:O,14,FALSE)</f>
        <v/>
      </c>
      <c r="X50">
        <f>VLOOKUP(pub?gid_1064752002_single_true_output_csv[[#This Row],[PROJETO]],UTDNOVEMBRO!B:P,15,FALSE)</f>
        <v/>
      </c>
      <c r="Y50">
        <f>VLOOKUP(pub?gid_1064752002_single_true_output_csv[[#This Row],[PROJETO]],UTDNOVEMBRO!B:Q,16,FALSE)</f>
        <v/>
      </c>
    </row>
    <row r="51">
      <c r="C51" t="inlineStr">
        <is>
          <t>B-1233067</t>
        </is>
      </c>
      <c r="D51" t="inlineStr">
        <is>
          <t>ER-CIND-FAZ-LAGOA DA SERRA-RURAL MOD</t>
        </is>
      </c>
      <c r="E51" t="inlineStr">
        <is>
          <t>MORRO DO CHAPÉU</t>
        </is>
      </c>
      <c r="F51" t="inlineStr">
        <is>
          <t>QLP</t>
        </is>
      </c>
      <c r="G51" t="inlineStr">
        <is>
          <t>OBRA CARTERIA DE DEZEMBRO</t>
        </is>
      </c>
      <c r="H51" t="inlineStr">
        <is>
          <t>53</t>
        </is>
      </c>
      <c r="K51" t="inlineStr">
        <is>
          <t>ATRASADA</t>
        </is>
      </c>
      <c r="N51" t="inlineStr">
        <is>
          <t>0</t>
        </is>
      </c>
      <c r="O51" t="inlineStr">
        <is>
          <t>0</t>
        </is>
      </c>
      <c r="P51">
        <f>VLOOKUP(pub?gid_1064752002_single_true_output_csv[[#This Row],[PROJETO]],UTDNOVEMBRO!B:AQ,42,FALSE)</f>
        <v/>
      </c>
      <c r="Q51">
        <f>VLOOKUP(pub?gid_1064752002_single_true_output_csv[[#This Row],[PROJETO]],UTDNOVEMBRO!B:AR,43,FALSE)</f>
        <v/>
      </c>
      <c r="R51">
        <f>VLOOKUP(pub?gid_1064752002_single_true_output_csv[[#This Row],[PROJETO]],UTDNOVEMBRO!B:AC,28,FALSE)</f>
        <v/>
      </c>
      <c r="S51">
        <f>VLOOKUP(pub?gid_1064752002_single_true_output_csv[[#This Row],[PROJETO]],UTDNOVEMBRO!B:C,2,FALSE)</f>
        <v/>
      </c>
      <c r="T51">
        <f>VLOOKUP(pub?gid_1064752002_single_true_output_csv[[#This Row],[PROJETO]],UTDNOVEMBRO!B:D,3,FALSE)</f>
        <v/>
      </c>
      <c r="U51">
        <f>VLOOKUP(pub?gid_1064752002_single_true_output_csv[[#This Row],[PROJETO]],UTDNOVEMBRO!B:K,10,FALSE)</f>
        <v/>
      </c>
      <c r="V51">
        <f>VLOOKUP(pub?gid_1064752002_single_true_output_csv[[#This Row],[PROJETO]],UTDNOVEMBRO!B:N,13,FALSE)</f>
        <v/>
      </c>
      <c r="W51">
        <f>VLOOKUP(pub?gid_1064752002_single_true_output_csv[[#This Row],[PROJETO]],UTDNOVEMBRO!B:O,14,FALSE)</f>
        <v/>
      </c>
      <c r="X51">
        <f>VLOOKUP(pub?gid_1064752002_single_true_output_csv[[#This Row],[PROJETO]],UTDNOVEMBRO!B:P,15,FALSE)</f>
        <v/>
      </c>
      <c r="Y51">
        <f>VLOOKUP(pub?gid_1064752002_single_true_output_csv[[#This Row],[PROJETO]],UTDNOVEMBRO!B:Q,16,FALSE)</f>
        <v/>
      </c>
    </row>
    <row r="52">
      <c r="C52" t="inlineStr">
        <is>
          <t>B-1232761</t>
        </is>
      </c>
      <c r="D52" t="inlineStr">
        <is>
          <t>ER-CIND-RUA-JUSCELIA-CONQUISTA</t>
        </is>
      </c>
      <c r="E52" t="inlineStr">
        <is>
          <t>CAFARNAUM</t>
        </is>
      </c>
      <c r="F52" t="inlineStr">
        <is>
          <t>QLP</t>
        </is>
      </c>
      <c r="G52" t="inlineStr">
        <is>
          <t>OBRA CARTERIA DE DEZEMBRO</t>
        </is>
      </c>
      <c r="H52" t="inlineStr">
        <is>
          <t>3</t>
        </is>
      </c>
      <c r="K52" t="inlineStr">
        <is>
          <t>ATRASADA</t>
        </is>
      </c>
      <c r="N52" t="inlineStr">
        <is>
          <t>0</t>
        </is>
      </c>
      <c r="O52" t="inlineStr">
        <is>
          <t>0</t>
        </is>
      </c>
      <c r="P52">
        <f>VLOOKUP(pub?gid_1064752002_single_true_output_csv[[#This Row],[PROJETO]],UTDNOVEMBRO!B:AQ,42,FALSE)</f>
        <v/>
      </c>
      <c r="Q52">
        <f>VLOOKUP(pub?gid_1064752002_single_true_output_csv[[#This Row],[PROJETO]],UTDNOVEMBRO!B:AR,43,FALSE)</f>
        <v/>
      </c>
      <c r="R52">
        <f>VLOOKUP(pub?gid_1064752002_single_true_output_csv[[#This Row],[PROJETO]],UTDNOVEMBRO!B:AC,28,FALSE)</f>
        <v/>
      </c>
      <c r="S52">
        <f>VLOOKUP(pub?gid_1064752002_single_true_output_csv[[#This Row],[PROJETO]],UTDNOVEMBRO!B:C,2,FALSE)</f>
        <v/>
      </c>
      <c r="T52">
        <f>VLOOKUP(pub?gid_1064752002_single_true_output_csv[[#This Row],[PROJETO]],UTDNOVEMBRO!B:D,3,FALSE)</f>
        <v/>
      </c>
      <c r="U52">
        <f>VLOOKUP(pub?gid_1064752002_single_true_output_csv[[#This Row],[PROJETO]],UTDNOVEMBRO!B:K,10,FALSE)</f>
        <v/>
      </c>
      <c r="V52">
        <f>VLOOKUP(pub?gid_1064752002_single_true_output_csv[[#This Row],[PROJETO]],UTDNOVEMBRO!B:N,13,FALSE)</f>
        <v/>
      </c>
      <c r="W52">
        <f>VLOOKUP(pub?gid_1064752002_single_true_output_csv[[#This Row],[PROJETO]],UTDNOVEMBRO!B:O,14,FALSE)</f>
        <v/>
      </c>
      <c r="X52">
        <f>VLOOKUP(pub?gid_1064752002_single_true_output_csv[[#This Row],[PROJETO]],UTDNOVEMBRO!B:P,15,FALSE)</f>
        <v/>
      </c>
      <c r="Y52">
        <f>VLOOKUP(pub?gid_1064752002_single_true_output_csv[[#This Row],[PROJETO]],UTDNOVEMBRO!B:Q,16,FALSE)</f>
        <v/>
      </c>
    </row>
    <row r="53">
      <c r="A53" t="inlineStr">
        <is>
          <t>ESMERALDO</t>
        </is>
      </c>
      <c r="B53" t="inlineStr">
        <is>
          <t>RENATO</t>
        </is>
      </c>
      <c r="C53" t="inlineStr">
        <is>
          <t>B-1232634</t>
        </is>
      </c>
      <c r="D53" t="inlineStr">
        <is>
          <t>ER-CIND-POV-BEBEDOURO DE ALMAS-ALMAS</t>
        </is>
      </c>
      <c r="E53" t="inlineStr">
        <is>
          <t>ITAGUAÇU DA BAHIA</t>
        </is>
      </c>
      <c r="F53" t="inlineStr">
        <is>
          <t>QLP</t>
        </is>
      </c>
      <c r="H53" t="inlineStr">
        <is>
          <t>34</t>
        </is>
      </c>
      <c r="K53" t="inlineStr">
        <is>
          <t>ATRASADA</t>
        </is>
      </c>
      <c r="L53" t="inlineStr">
        <is>
          <t>LV</t>
        </is>
      </c>
      <c r="N53" t="inlineStr">
        <is>
          <t>0</t>
        </is>
      </c>
      <c r="O53" t="inlineStr">
        <is>
          <t>0</t>
        </is>
      </c>
      <c r="P53">
        <f>VLOOKUP(pub?gid_1064752002_single_true_output_csv[[#This Row],[PROJETO]],UTDNOVEMBRO!B:AQ,42,FALSE)</f>
        <v/>
      </c>
      <c r="Q53">
        <f>VLOOKUP(pub?gid_1064752002_single_true_output_csv[[#This Row],[PROJETO]],UTDNOVEMBRO!B:AR,43,FALSE)</f>
        <v/>
      </c>
      <c r="R53">
        <f>VLOOKUP(pub?gid_1064752002_single_true_output_csv[[#This Row],[PROJETO]],UTDNOVEMBRO!B:AC,28,FALSE)</f>
        <v/>
      </c>
      <c r="S53">
        <f>VLOOKUP(pub?gid_1064752002_single_true_output_csv[[#This Row],[PROJETO]],UTDNOVEMBRO!B:C,2,FALSE)</f>
        <v/>
      </c>
      <c r="T53">
        <f>VLOOKUP(pub?gid_1064752002_single_true_output_csv[[#This Row],[PROJETO]],UTDNOVEMBRO!B:D,3,FALSE)</f>
        <v/>
      </c>
      <c r="U53">
        <f>VLOOKUP(pub?gid_1064752002_single_true_output_csv[[#This Row],[PROJETO]],UTDNOVEMBRO!B:K,10,FALSE)</f>
        <v/>
      </c>
      <c r="V53">
        <f>VLOOKUP(pub?gid_1064752002_single_true_output_csv[[#This Row],[PROJETO]],UTDNOVEMBRO!B:N,13,FALSE)</f>
        <v/>
      </c>
      <c r="W53">
        <f>VLOOKUP(pub?gid_1064752002_single_true_output_csv[[#This Row],[PROJETO]],UTDNOVEMBRO!B:O,14,FALSE)</f>
        <v/>
      </c>
      <c r="X53">
        <f>VLOOKUP(pub?gid_1064752002_single_true_output_csv[[#This Row],[PROJETO]],UTDNOVEMBRO!B:P,15,FALSE)</f>
        <v/>
      </c>
      <c r="Y53">
        <f>VLOOKUP(pub?gid_1064752002_single_true_output_csv[[#This Row],[PROJETO]],UTDNOVEMBRO!B:Q,16,FALSE)</f>
        <v/>
      </c>
    </row>
    <row r="54">
      <c r="C54" t="inlineStr">
        <is>
          <t>B-1232632</t>
        </is>
      </c>
      <c r="D54" t="inlineStr">
        <is>
          <t>ER-CIND-POV-POCO GRANDE 325-RURAL</t>
        </is>
      </c>
      <c r="E54" t="inlineStr">
        <is>
          <t>BARRA DO MENDES</t>
        </is>
      </c>
      <c r="F54" t="inlineStr">
        <is>
          <t>QLP</t>
        </is>
      </c>
      <c r="G54" t="inlineStr">
        <is>
          <t>OBRA CARTERIA DE DEZEMBRO</t>
        </is>
      </c>
      <c r="H54" t="inlineStr">
        <is>
          <t>3</t>
        </is>
      </c>
      <c r="K54" t="inlineStr">
        <is>
          <t>ATRASADA</t>
        </is>
      </c>
      <c r="N54" t="inlineStr">
        <is>
          <t>0</t>
        </is>
      </c>
      <c r="O54" t="inlineStr">
        <is>
          <t>0</t>
        </is>
      </c>
      <c r="P54">
        <f>VLOOKUP(pub?gid_1064752002_single_true_output_csv[[#This Row],[PROJETO]],UTDNOVEMBRO!B:AQ,42,FALSE)</f>
        <v/>
      </c>
      <c r="Q54">
        <f>VLOOKUP(pub?gid_1064752002_single_true_output_csv[[#This Row],[PROJETO]],UTDNOVEMBRO!B:AR,43,FALSE)</f>
        <v/>
      </c>
      <c r="R54">
        <f>VLOOKUP(pub?gid_1064752002_single_true_output_csv[[#This Row],[PROJETO]],UTDNOVEMBRO!B:AC,28,FALSE)</f>
        <v/>
      </c>
      <c r="S54">
        <f>VLOOKUP(pub?gid_1064752002_single_true_output_csv[[#This Row],[PROJETO]],UTDNOVEMBRO!B:C,2,FALSE)</f>
        <v/>
      </c>
      <c r="T54">
        <f>VLOOKUP(pub?gid_1064752002_single_true_output_csv[[#This Row],[PROJETO]],UTDNOVEMBRO!B:D,3,FALSE)</f>
        <v/>
      </c>
      <c r="U54">
        <f>VLOOKUP(pub?gid_1064752002_single_true_output_csv[[#This Row],[PROJETO]],UTDNOVEMBRO!B:K,10,FALSE)</f>
        <v/>
      </c>
      <c r="V54">
        <f>VLOOKUP(pub?gid_1064752002_single_true_output_csv[[#This Row],[PROJETO]],UTDNOVEMBRO!B:N,13,FALSE)</f>
        <v/>
      </c>
      <c r="W54">
        <f>VLOOKUP(pub?gid_1064752002_single_true_output_csv[[#This Row],[PROJETO]],UTDNOVEMBRO!B:O,14,FALSE)</f>
        <v/>
      </c>
      <c r="X54">
        <f>VLOOKUP(pub?gid_1064752002_single_true_output_csv[[#This Row],[PROJETO]],UTDNOVEMBRO!B:P,15,FALSE)</f>
        <v/>
      </c>
      <c r="Y54">
        <f>VLOOKUP(pub?gid_1064752002_single_true_output_csv[[#This Row],[PROJETO]],UTDNOVEMBRO!B:Q,16,FALSE)</f>
        <v/>
      </c>
    </row>
    <row r="55">
      <c r="C55" t="inlineStr">
        <is>
          <t>B-1062322</t>
        </is>
      </c>
      <c r="D55" t="inlineStr">
        <is>
          <t>IS-DIST-POV CANARINA-RURAL</t>
        </is>
      </c>
      <c r="E55" t="inlineStr">
        <is>
          <t>BARRA DO MENDES</t>
        </is>
      </c>
      <c r="F55" t="inlineStr">
        <is>
          <t>INTERV SEGURANÇA</t>
        </is>
      </c>
      <c r="G55" t="inlineStr">
        <is>
          <t>OBRA CARTERIA DE DEZEMBRO</t>
        </is>
      </c>
      <c r="H55" t="inlineStr">
        <is>
          <t>5</t>
        </is>
      </c>
      <c r="K55" t="inlineStr">
        <is>
          <t>ATRASADA</t>
        </is>
      </c>
      <c r="N55" t="inlineStr">
        <is>
          <t>0</t>
        </is>
      </c>
      <c r="O55" t="inlineStr">
        <is>
          <t>0</t>
        </is>
      </c>
      <c r="P55">
        <f>VLOOKUP(pub?gid_1064752002_single_true_output_csv[[#This Row],[PROJETO]],UTDNOVEMBRO!B:AQ,42,FALSE)</f>
        <v/>
      </c>
      <c r="Q55">
        <f>VLOOKUP(pub?gid_1064752002_single_true_output_csv[[#This Row],[PROJETO]],UTDNOVEMBRO!B:AR,43,FALSE)</f>
        <v/>
      </c>
      <c r="R55">
        <f>VLOOKUP(pub?gid_1064752002_single_true_output_csv[[#This Row],[PROJETO]],UTDNOVEMBRO!B:AC,28,FALSE)</f>
        <v/>
      </c>
      <c r="S55">
        <f>VLOOKUP(pub?gid_1064752002_single_true_output_csv[[#This Row],[PROJETO]],UTDNOVEMBRO!B:C,2,FALSE)</f>
        <v/>
      </c>
      <c r="T55">
        <f>VLOOKUP(pub?gid_1064752002_single_true_output_csv[[#This Row],[PROJETO]],UTDNOVEMBRO!B:D,3,FALSE)</f>
        <v/>
      </c>
      <c r="U55">
        <f>VLOOKUP(pub?gid_1064752002_single_true_output_csv[[#This Row],[PROJETO]],UTDNOVEMBRO!B:K,10,FALSE)</f>
        <v/>
      </c>
      <c r="V55">
        <f>VLOOKUP(pub?gid_1064752002_single_true_output_csv[[#This Row],[PROJETO]],UTDNOVEMBRO!B:N,13,FALSE)</f>
        <v/>
      </c>
      <c r="W55">
        <f>VLOOKUP(pub?gid_1064752002_single_true_output_csv[[#This Row],[PROJETO]],UTDNOVEMBRO!B:O,14,FALSE)</f>
        <v/>
      </c>
      <c r="X55">
        <f>VLOOKUP(pub?gid_1064752002_single_true_output_csv[[#This Row],[PROJETO]],UTDNOVEMBRO!B:P,15,FALSE)</f>
        <v/>
      </c>
      <c r="Y55">
        <f>VLOOKUP(pub?gid_1064752002_single_true_output_csv[[#This Row],[PROJETO]],UTDNOVEMBRO!B:Q,16,FALSE)</f>
        <v/>
      </c>
    </row>
    <row r="56">
      <c r="C56" t="inlineStr">
        <is>
          <t>B-0979203</t>
        </is>
      </c>
      <c r="D56" t="inlineStr">
        <is>
          <t>UB-CIND-AVN JOÃO DURVAL CARNEIRO-GAMELEI</t>
        </is>
      </c>
      <c r="E56" t="inlineStr">
        <is>
          <t>BARRO ALTO</t>
        </is>
      </c>
      <c r="F56" t="inlineStr">
        <is>
          <t>QLP</t>
        </is>
      </c>
      <c r="G56" t="inlineStr">
        <is>
          <t>OBRA CARTERIA DE DEZEMBRO</t>
        </is>
      </c>
      <c r="H56" t="inlineStr">
        <is>
          <t>3</t>
        </is>
      </c>
      <c r="K56" t="inlineStr">
        <is>
          <t>ATRASADA</t>
        </is>
      </c>
      <c r="N56" t="inlineStr">
        <is>
          <t>0</t>
        </is>
      </c>
      <c r="O56" t="inlineStr">
        <is>
          <t>0</t>
        </is>
      </c>
      <c r="P56">
        <f>VLOOKUP(pub?gid_1064752002_single_true_output_csv[[#This Row],[PROJETO]],UTDNOVEMBRO!B:AQ,42,FALSE)</f>
        <v/>
      </c>
      <c r="Q56">
        <f>VLOOKUP(pub?gid_1064752002_single_true_output_csv[[#This Row],[PROJETO]],UTDNOVEMBRO!B:AR,43,FALSE)</f>
        <v/>
      </c>
      <c r="R56">
        <f>VLOOKUP(pub?gid_1064752002_single_true_output_csv[[#This Row],[PROJETO]],UTDNOVEMBRO!B:AC,28,FALSE)</f>
        <v/>
      </c>
      <c r="S56">
        <f>VLOOKUP(pub?gid_1064752002_single_true_output_csv[[#This Row],[PROJETO]],UTDNOVEMBRO!B:C,2,FALSE)</f>
        <v/>
      </c>
      <c r="T56">
        <f>VLOOKUP(pub?gid_1064752002_single_true_output_csv[[#This Row],[PROJETO]],UTDNOVEMBRO!B:D,3,FALSE)</f>
        <v/>
      </c>
      <c r="U56">
        <f>VLOOKUP(pub?gid_1064752002_single_true_output_csv[[#This Row],[PROJETO]],UTDNOVEMBRO!B:K,10,FALSE)</f>
        <v/>
      </c>
      <c r="V56">
        <f>VLOOKUP(pub?gid_1064752002_single_true_output_csv[[#This Row],[PROJETO]],UTDNOVEMBRO!B:N,13,FALSE)</f>
        <v/>
      </c>
      <c r="W56">
        <f>VLOOKUP(pub?gid_1064752002_single_true_output_csv[[#This Row],[PROJETO]],UTDNOVEMBRO!B:O,14,FALSE)</f>
        <v/>
      </c>
      <c r="X56">
        <f>VLOOKUP(pub?gid_1064752002_single_true_output_csv[[#This Row],[PROJETO]],UTDNOVEMBRO!B:P,15,FALSE)</f>
        <v/>
      </c>
      <c r="Y56">
        <f>VLOOKUP(pub?gid_1064752002_single_true_output_csv[[#This Row],[PROJETO]],UTDNOVEMBRO!B:Q,16,FALSE)</f>
        <v/>
      </c>
    </row>
    <row r="57">
      <c r="A57" t="inlineStr">
        <is>
          <t>WESLEY</t>
        </is>
      </c>
      <c r="B57" t="inlineStr"/>
      <c r="C57" t="inlineStr">
        <is>
          <t>B-1214123</t>
        </is>
      </c>
      <c r="D57" t="inlineStr"/>
      <c r="E57" t="inlineStr"/>
      <c r="F57" t="inlineStr"/>
      <c r="G57" t="inlineStr"/>
      <c r="H57" t="n">
        <v>0</v>
      </c>
      <c r="I57" t="inlineStr"/>
      <c r="J57" t="inlineStr"/>
      <c r="K57" t="inlineStr"/>
      <c r="L57" t="inlineStr">
        <is>
          <t>IMPLANTAÇÃO</t>
        </is>
      </c>
      <c r="M57" t="inlineStr"/>
      <c r="N57" t="n">
        <v>0</v>
      </c>
      <c r="O57" t="n">
        <v>0</v>
      </c>
      <c r="P57" t="inlineStr"/>
      <c r="Q57" t="inlineStr"/>
      <c r="R57" t="n">
        <v>0</v>
      </c>
      <c r="S57" t="inlineStr"/>
      <c r="T57" t="inlineStr"/>
      <c r="U57" t="inlineStr">
        <is>
          <t>N/A</t>
        </is>
      </c>
      <c r="V57" t="inlineStr"/>
      <c r="W57" t="inlineStr"/>
      <c r="X57" t="inlineStr"/>
      <c r="Y57" t="inlineStr"/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88"/>
  <sheetViews>
    <sheetView topLeftCell="M1" workbookViewId="0">
      <selection activeCell="N14" sqref="N14"/>
    </sheetView>
  </sheetViews>
  <sheetFormatPr baseColWidth="8" defaultRowHeight="14.4"/>
  <cols>
    <col width="17.88671875" bestFit="1" customWidth="1" min="1" max="1"/>
    <col width="23" bestFit="1" customWidth="1" min="2" max="2"/>
    <col width="10.6640625" bestFit="1" customWidth="1" min="3" max="4"/>
    <col width="44.21875" bestFit="1" customWidth="1" min="5" max="5"/>
    <col width="17.88671875" bestFit="1" customWidth="1" min="6" max="6"/>
    <col width="20.21875" bestFit="1" customWidth="1" min="7" max="7"/>
    <col width="80.88671875" bestFit="1" customWidth="1" min="8" max="8"/>
    <col width="42.33203125" bestFit="1" customWidth="1" min="9" max="9"/>
    <col width="45.6640625" bestFit="1" customWidth="1" min="10" max="10"/>
    <col width="38.5546875" bestFit="1" customWidth="1" min="11" max="11"/>
    <col width="29.88671875" bestFit="1" customWidth="1" min="12" max="12"/>
    <col width="24" bestFit="1" customWidth="1" min="13" max="13"/>
    <col width="12.21875" bestFit="1" customWidth="1" min="14" max="14"/>
    <col width="80.88671875" bestFit="1" customWidth="1" min="15" max="15"/>
    <col width="25.44140625" bestFit="1" customWidth="1" min="16" max="16"/>
    <col width="22.6640625" bestFit="1" customWidth="1" min="17" max="17"/>
    <col width="21.44140625" bestFit="1" customWidth="1" min="18" max="18"/>
    <col width="23.5546875" bestFit="1" customWidth="1" min="19" max="19"/>
    <col width="11.6640625" bestFit="1" customWidth="1" min="20" max="20"/>
    <col width="35.44140625" bestFit="1" customWidth="1" min="21" max="21"/>
    <col width="16.44140625" bestFit="1" customWidth="1" min="22" max="22"/>
    <col width="12.109375" bestFit="1" customWidth="1" min="23" max="23"/>
    <col width="11.6640625" bestFit="1" customWidth="1" min="24" max="25"/>
    <col width="14.21875" bestFit="1" customWidth="1" min="26" max="26"/>
    <col width="11.6640625" bestFit="1" customWidth="1" min="27" max="27"/>
    <col width="36.77734375" bestFit="1" customWidth="1" min="28" max="28"/>
    <col width="19.21875" bestFit="1" customWidth="1" min="29" max="29"/>
    <col width="22.21875" bestFit="1" customWidth="1" min="30" max="30"/>
    <col width="17.77734375" bestFit="1" customWidth="1" min="31" max="31"/>
    <col width="14.88671875" bestFit="1" customWidth="1" min="32" max="32"/>
    <col width="17.88671875" bestFit="1" customWidth="1" min="33" max="33"/>
    <col width="17.5546875" bestFit="1" customWidth="1" min="34" max="34"/>
    <col width="11.6640625" bestFit="1" customWidth="1" min="35" max="36"/>
    <col width="15.109375" bestFit="1" customWidth="1" min="37" max="37"/>
    <col width="12.21875" bestFit="1" customWidth="1" min="38" max="38"/>
    <col width="19.88671875" bestFit="1" customWidth="1" min="39" max="39"/>
    <col width="22.109375" bestFit="1" customWidth="1" min="40" max="40"/>
    <col width="13.44140625" bestFit="1" customWidth="1" min="41" max="41"/>
    <col width="14.21875" bestFit="1" customWidth="1" min="42" max="42"/>
    <col width="11.6640625" bestFit="1" customWidth="1" min="43" max="44"/>
    <col width="17" bestFit="1" customWidth="1" min="45" max="45"/>
    <col width="16.77734375" bestFit="1" customWidth="1" min="46" max="46"/>
    <col width="14.44140625" bestFit="1" customWidth="1" min="47" max="47"/>
    <col width="16.33203125" bestFit="1" customWidth="1" min="48" max="48"/>
    <col width="11.6640625" bestFit="1" customWidth="1" min="49" max="51"/>
    <col width="18.21875" bestFit="1" customWidth="1" min="52" max="52"/>
    <col width="24.33203125" bestFit="1" customWidth="1" min="53" max="53"/>
    <col width="16.5546875" bestFit="1" customWidth="1" min="54" max="54"/>
    <col width="11.6640625" bestFit="1" customWidth="1" min="55" max="59"/>
    <col width="17.88671875" bestFit="1" customWidth="1" min="60" max="60"/>
    <col width="16.5546875" bestFit="1" customWidth="1" min="61" max="61"/>
    <col width="80.88671875" bestFit="1" customWidth="1" min="62" max="62"/>
    <col width="21.77734375" bestFit="1" customWidth="1" min="63" max="63"/>
    <col width="11.6640625" bestFit="1" customWidth="1" min="64" max="64"/>
    <col width="25" bestFit="1" customWidth="1" min="65" max="67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Column3</t>
        </is>
      </c>
      <c r="D1" t="inlineStr">
        <is>
          <t>Column4</t>
        </is>
      </c>
      <c r="E1" t="inlineStr">
        <is>
          <t>Column5</t>
        </is>
      </c>
      <c r="F1" t="inlineStr">
        <is>
          <t>Column6</t>
        </is>
      </c>
      <c r="G1" t="inlineStr">
        <is>
          <t>Column7</t>
        </is>
      </c>
      <c r="H1" t="inlineStr">
        <is>
          <t>Column8</t>
        </is>
      </c>
      <c r="I1" t="inlineStr">
        <is>
          <t>Column9</t>
        </is>
      </c>
      <c r="J1" t="inlineStr">
        <is>
          <t>Column10</t>
        </is>
      </c>
      <c r="K1" t="inlineStr">
        <is>
          <t>Column11</t>
        </is>
      </c>
      <c r="L1" t="inlineStr">
        <is>
          <t>Column12</t>
        </is>
      </c>
      <c r="M1" t="inlineStr">
        <is>
          <t>Column13</t>
        </is>
      </c>
      <c r="N1" t="inlineStr">
        <is>
          <t>Column14</t>
        </is>
      </c>
      <c r="O1" t="inlineStr">
        <is>
          <t>Column15</t>
        </is>
      </c>
      <c r="P1" t="inlineStr">
        <is>
          <t>Column16</t>
        </is>
      </c>
      <c r="Q1" t="inlineStr">
        <is>
          <t>Column17</t>
        </is>
      </c>
      <c r="R1" t="inlineStr">
        <is>
          <t>Column18</t>
        </is>
      </c>
      <c r="S1" t="inlineStr">
        <is>
          <t>Column19</t>
        </is>
      </c>
      <c r="T1" t="inlineStr">
        <is>
          <t>Column20</t>
        </is>
      </c>
      <c r="U1" t="inlineStr">
        <is>
          <t>Column21</t>
        </is>
      </c>
      <c r="V1" t="inlineStr">
        <is>
          <t>Column22</t>
        </is>
      </c>
      <c r="W1" t="inlineStr">
        <is>
          <t>Column23</t>
        </is>
      </c>
      <c r="X1" t="inlineStr">
        <is>
          <t>Column24</t>
        </is>
      </c>
      <c r="Y1" t="inlineStr">
        <is>
          <t>Column25</t>
        </is>
      </c>
      <c r="Z1" t="inlineStr">
        <is>
          <t>Column26</t>
        </is>
      </c>
      <c r="AA1" t="inlineStr">
        <is>
          <t>Column27</t>
        </is>
      </c>
      <c r="AB1" t="inlineStr">
        <is>
          <t>Column28</t>
        </is>
      </c>
      <c r="AC1" t="inlineStr">
        <is>
          <t>Column29</t>
        </is>
      </c>
      <c r="AD1" t="inlineStr">
        <is>
          <t>Column30</t>
        </is>
      </c>
      <c r="AE1" t="inlineStr">
        <is>
          <t>Column31</t>
        </is>
      </c>
      <c r="AF1" t="inlineStr">
        <is>
          <t>Column32</t>
        </is>
      </c>
      <c r="AG1" t="inlineStr">
        <is>
          <t>Column33</t>
        </is>
      </c>
      <c r="AH1" t="inlineStr">
        <is>
          <t>Column34</t>
        </is>
      </c>
      <c r="AI1" t="inlineStr">
        <is>
          <t>Column35</t>
        </is>
      </c>
      <c r="AJ1" t="inlineStr">
        <is>
          <t>Column36</t>
        </is>
      </c>
      <c r="AK1" t="inlineStr">
        <is>
          <t>Column37</t>
        </is>
      </c>
      <c r="AL1" t="inlineStr">
        <is>
          <t>Column38</t>
        </is>
      </c>
      <c r="AM1" t="inlineStr">
        <is>
          <t>Column39</t>
        </is>
      </c>
      <c r="AN1" t="inlineStr">
        <is>
          <t>Column40</t>
        </is>
      </c>
      <c r="AO1" t="inlineStr">
        <is>
          <t>Column41</t>
        </is>
      </c>
      <c r="AP1" t="inlineStr">
        <is>
          <t>Column42</t>
        </is>
      </c>
      <c r="AQ1" t="inlineStr">
        <is>
          <t>Column43</t>
        </is>
      </c>
      <c r="AR1" t="inlineStr">
        <is>
          <t>Column44</t>
        </is>
      </c>
      <c r="AS1" t="inlineStr">
        <is>
          <t>Column45</t>
        </is>
      </c>
      <c r="AT1" t="inlineStr">
        <is>
          <t>Column46</t>
        </is>
      </c>
      <c r="AU1" t="inlineStr">
        <is>
          <t>Column47</t>
        </is>
      </c>
      <c r="AV1" t="inlineStr">
        <is>
          <t>Column48</t>
        </is>
      </c>
      <c r="AW1" t="inlineStr">
        <is>
          <t>Column49</t>
        </is>
      </c>
      <c r="AX1" t="inlineStr">
        <is>
          <t>Column50</t>
        </is>
      </c>
      <c r="AY1" t="inlineStr">
        <is>
          <t>Column51</t>
        </is>
      </c>
      <c r="AZ1" t="inlineStr">
        <is>
          <t>Column52</t>
        </is>
      </c>
      <c r="BA1" t="inlineStr">
        <is>
          <t>Column53</t>
        </is>
      </c>
      <c r="BB1" t="inlineStr">
        <is>
          <t>Column54</t>
        </is>
      </c>
      <c r="BC1" t="inlineStr">
        <is>
          <t>Column55</t>
        </is>
      </c>
      <c r="BD1" t="inlineStr">
        <is>
          <t>Column56</t>
        </is>
      </c>
      <c r="BE1" t="inlineStr">
        <is>
          <t>Column57</t>
        </is>
      </c>
      <c r="BF1" t="inlineStr">
        <is>
          <t>Column58</t>
        </is>
      </c>
      <c r="BG1" t="inlineStr">
        <is>
          <t>Column59</t>
        </is>
      </c>
      <c r="BH1" t="inlineStr">
        <is>
          <t>Column60</t>
        </is>
      </c>
      <c r="BI1" t="inlineStr">
        <is>
          <t>Column61</t>
        </is>
      </c>
      <c r="BJ1" t="inlineStr">
        <is>
          <t>Column62</t>
        </is>
      </c>
      <c r="BK1" t="inlineStr">
        <is>
          <t>Column63</t>
        </is>
      </c>
      <c r="BL1" t="inlineStr">
        <is>
          <t>Column64</t>
        </is>
      </c>
      <c r="BM1" t="inlineStr">
        <is>
          <t>Column65</t>
        </is>
      </c>
      <c r="BN1" t="inlineStr">
        <is>
          <t>Column66</t>
        </is>
      </c>
      <c r="BO1" t="inlineStr">
        <is>
          <t>Column67</t>
        </is>
      </c>
    </row>
    <row r="2">
      <c r="A2" t="inlineStr">
        <is>
          <t>NOTA</t>
        </is>
      </c>
      <c r="B2" t="inlineStr">
        <is>
          <t>PEP OBRA</t>
        </is>
      </c>
      <c r="C2" t="inlineStr">
        <is>
          <t>PEP KIT</t>
        </is>
      </c>
      <c r="D2" t="inlineStr">
        <is>
          <t>PEP MED</t>
        </is>
      </c>
      <c r="E2" t="inlineStr">
        <is>
          <t>TÍTULO</t>
        </is>
      </c>
      <c r="F2" t="inlineStr">
        <is>
          <t>MUNICIPIO</t>
        </is>
      </c>
      <c r="G2" t="inlineStr">
        <is>
          <t>STATUS DA OBRA</t>
        </is>
      </c>
      <c r="H2" t="inlineStr">
        <is>
          <t>OBS STATUS</t>
        </is>
      </c>
      <c r="I2" t="inlineStr">
        <is>
          <t>ENCARREGADO</t>
        </is>
      </c>
      <c r="J2" t="inlineStr">
        <is>
          <t>SUPERVISOR</t>
        </is>
      </c>
      <c r="K2" t="inlineStr">
        <is>
          <t>AR
 COELBA</t>
        </is>
      </c>
      <c r="L2" t="inlineStr">
        <is>
          <t>PLANO
 INVESTIMENTO</t>
        </is>
      </c>
      <c r="M2" t="inlineStr">
        <is>
          <t>CRITERIO</t>
        </is>
      </c>
      <c r="N2" t="inlineStr">
        <is>
          <t>VISITA PRÉVIA</t>
        </is>
      </c>
      <c r="O2" t="inlineStr">
        <is>
          <t>OBS. VISITA</t>
        </is>
      </c>
      <c r="P2" t="inlineStr">
        <is>
          <t>ANÁLISE
 PROJETO
 PRÉ-FECH.</t>
        </is>
      </c>
      <c r="Q2" t="inlineStr">
        <is>
          <t>SOLICITAÇÃO DE RESERVA</t>
        </is>
      </c>
      <c r="R2" t="inlineStr">
        <is>
          <t>DATA SAQUE
 MATERIAIS</t>
        </is>
      </c>
      <c r="S2" t="inlineStr">
        <is>
          <t>PES
 LV</t>
        </is>
      </c>
      <c r="T2" t="inlineStr">
        <is>
          <t>VENCI.</t>
        </is>
      </c>
      <c r="U2" t="inlineStr">
        <is>
          <t>PES
LM</t>
        </is>
      </c>
      <c r="V2" t="inlineStr">
        <is>
          <t>PES
 ENERGIZAÇÃO</t>
        </is>
      </c>
      <c r="W2" t="inlineStr">
        <is>
          <t>VENCIMENTO</t>
        </is>
      </c>
      <c r="X2" t="inlineStr">
        <is>
          <t>PES
 PD</t>
        </is>
      </c>
      <c r="Y2" t="inlineStr">
        <is>
          <t>DATA
 PD</t>
        </is>
      </c>
      <c r="Z2" t="inlineStr">
        <is>
          <t>STATUS
 PES PD</t>
        </is>
      </c>
      <c r="AA2" t="inlineStr">
        <is>
          <t>SI PG</t>
        </is>
      </c>
      <c r="AB2" t="inlineStr">
        <is>
          <t>PG's</t>
        </is>
      </c>
      <c r="AC2" t="inlineStr">
        <is>
          <t>CLIENTES
 PREVISTOS</t>
        </is>
      </c>
      <c r="AD2" t="inlineStr">
        <is>
          <t>QTD. UC'S VALIDADAS LPT</t>
        </is>
      </c>
      <c r="AE2" t="inlineStr">
        <is>
          <t>POSTES
 PREVISTOS</t>
        </is>
      </c>
      <c r="AF2" t="inlineStr">
        <is>
          <t>CAVA REALIZADA</t>
        </is>
      </c>
      <c r="AG2" t="inlineStr">
        <is>
          <t>POSTES
 REALIZADO</t>
        </is>
      </c>
      <c r="AH2" t="inlineStr">
        <is>
          <t>POSTES
 À IMPLANTA</t>
        </is>
      </c>
      <c r="AI2" t="inlineStr">
        <is>
          <t>AVNR</t>
        </is>
      </c>
      <c r="AJ2" t="inlineStr">
        <is>
          <t>AVNP</t>
        </is>
      </c>
      <c r="AK2" t="inlineStr">
        <is>
          <t>INCIO
 PREVISTO</t>
        </is>
      </c>
      <c r="AL2" t="inlineStr">
        <is>
          <t>FIM PREVISTO</t>
        </is>
      </c>
      <c r="AM2" t="inlineStr">
        <is>
          <t>REPROGRAMAÇÃO FIM</t>
        </is>
      </c>
      <c r="AN2" t="inlineStr">
        <is>
          <t>DATA
 ENERGIZAÇÃO REAL</t>
        </is>
      </c>
      <c r="AO2" t="inlineStr">
        <is>
          <t>OC DE ENERG.</t>
        </is>
      </c>
      <c r="AP2" t="inlineStr">
        <is>
          <t>PG
 REFERÊNCIA</t>
        </is>
      </c>
      <c r="AQ2" t="inlineStr">
        <is>
          <t>LATITUDE</t>
        </is>
      </c>
      <c r="AR2" t="inlineStr">
        <is>
          <t>LONGITUDE</t>
        </is>
      </c>
      <c r="AS2" t="inlineStr">
        <is>
          <t>VALOR DE PROJETO</t>
        </is>
      </c>
      <c r="AT2" t="inlineStr">
        <is>
          <t>VALOR DE SERVIÇO</t>
        </is>
      </c>
      <c r="AU2" t="inlineStr">
        <is>
          <t>CÓDIGO
 EQUIPE</t>
        </is>
      </c>
      <c r="AV2" t="inlineStr">
        <is>
          <t>PROVAVEL ROCHA</t>
        </is>
      </c>
      <c r="AW2" t="inlineStr">
        <is>
          <t>CABO 1x25</t>
        </is>
      </c>
      <c r="AX2" t="inlineStr">
        <is>
          <t>CABO 3x35</t>
        </is>
      </c>
      <c r="AY2" t="inlineStr">
        <is>
          <t>OBS</t>
        </is>
      </c>
      <c r="AZ2" t="inlineStr">
        <is>
          <t>AVALIAÇÃO SERVIÇO</t>
        </is>
      </c>
      <c r="BA2" t="inlineStr">
        <is>
          <t>SUBESTAÇÃO
 ALIMENTADOR</t>
        </is>
      </c>
      <c r="BB2" t="inlineStr">
        <is>
          <t>CHAVE
PRINCIPAL</t>
        </is>
      </c>
      <c r="BC2" t="inlineStr">
        <is>
          <t>CHAVE PD</t>
        </is>
      </c>
      <c r="BD2" t="inlineStr">
        <is>
          <t>QTD. UC'S</t>
        </is>
      </c>
      <c r="BE2" t="inlineStr">
        <is>
          <t>VIP</t>
        </is>
      </c>
      <c r="BF2" t="inlineStr">
        <is>
          <t>QTD. H
 DP</t>
        </is>
      </c>
      <c r="BG2" t="inlineStr">
        <is>
          <t>CHI</t>
        </is>
      </c>
      <c r="BH2" t="inlineStr">
        <is>
          <t>LOCAIS 
 ATINGIDOS</t>
        </is>
      </c>
      <c r="BI2" t="inlineStr">
        <is>
          <t>PG
REFERÊNCIA</t>
        </is>
      </c>
      <c r="BJ2" t="inlineStr">
        <is>
          <t>SERVIÇO</t>
        </is>
      </c>
      <c r="BK2" t="inlineStr">
        <is>
          <t>RASCUNHO</t>
        </is>
      </c>
      <c r="BM2" t="inlineStr">
        <is>
          <t>NÃO ELIMINAR ESTA COLUNA</t>
        </is>
      </c>
      <c r="BN2" t="inlineStr">
        <is>
          <t>NÃO ELIMINAR ESTA COLUNA</t>
        </is>
      </c>
      <c r="BO2" t="inlineStr">
        <is>
          <t>NÃO ELIMINAR ESTA COLUNA</t>
        </is>
      </c>
    </row>
    <row r="3">
      <c r="A3" t="inlineStr">
        <is>
          <t>9101928484</t>
        </is>
      </c>
      <c r="B3" t="inlineStr">
        <is>
          <t>B-1099615</t>
        </is>
      </c>
      <c r="C3" t="inlineStr">
        <is>
          <t>B-1231514</t>
        </is>
      </c>
      <c r="D3" t="inlineStr">
        <is>
          <t>B-1231533</t>
        </is>
      </c>
      <c r="E3" t="inlineStr">
        <is>
          <t>ER-CIND-POV-PREVINIDO-RURAL</t>
        </is>
      </c>
      <c r="F3" t="inlineStr">
        <is>
          <t>AMÉRICA DOURADA</t>
        </is>
      </c>
      <c r="G3" t="inlineStr">
        <is>
          <t>ENERGIZADA</t>
        </is>
      </c>
      <c r="I3" t="inlineStr">
        <is>
          <t>ALAN NUNES BARRETO - NTS415566</t>
        </is>
      </c>
      <c r="J3" t="inlineStr">
        <is>
          <t>DJALMA RIOS DA CRUZ - NTS411576</t>
        </is>
      </c>
      <c r="K3" t="inlineStr">
        <is>
          <t>JOSE ANTONIO SIMAS NETO - U349485</t>
        </is>
      </c>
      <c r="L3" t="inlineStr">
        <is>
          <t>PLANO 14.7.3 - LPT</t>
        </is>
      </c>
      <c r="M3" t="inlineStr">
        <is>
          <t>REPUTACIONAL</t>
        </is>
      </c>
      <c r="N3" t="inlineStr">
        <is>
          <t>09/10/25</t>
        </is>
      </c>
      <c r="O3" t="inlineStr">
        <is>
          <t>EXISTE UMA OBRA JA EXECUTADA, POREM, NAO TEM TRAFO PARA ATENDER OS CLIENTES. VERIFICAR POSSIBILIDADE DE ATENDER CONFORME OS PONTOS.</t>
        </is>
      </c>
      <c r="P3" t="inlineStr">
        <is>
          <t>13/10/25</t>
        </is>
      </c>
      <c r="Q3" t="inlineStr">
        <is>
          <t>27/10</t>
        </is>
      </c>
      <c r="S3" t="inlineStr">
        <is>
          <t>2025-132510</t>
        </is>
      </c>
      <c r="T3" t="inlineStr">
        <is>
          <t>01/12/2025</t>
        </is>
      </c>
      <c r="U3" t="inlineStr">
        <is>
          <t>N/A</t>
        </is>
      </c>
      <c r="V3" t="inlineStr">
        <is>
          <t>2025-132525</t>
        </is>
      </c>
      <c r="W3" t="inlineStr">
        <is>
          <t>01/12/2025</t>
        </is>
      </c>
      <c r="X3" t="inlineStr">
        <is>
          <t>N/A</t>
        </is>
      </c>
      <c r="AA3" t="inlineStr">
        <is>
          <t>1040693</t>
        </is>
      </c>
      <c r="AB3" t="inlineStr">
        <is>
          <t>E894510 AO E894522</t>
        </is>
      </c>
      <c r="AC3" t="inlineStr">
        <is>
          <t>3</t>
        </is>
      </c>
      <c r="AD3" t="inlineStr">
        <is>
          <t>2</t>
        </is>
      </c>
      <c r="AE3" t="inlineStr">
        <is>
          <t>4</t>
        </is>
      </c>
      <c r="AF3" t="inlineStr">
        <is>
          <t>4</t>
        </is>
      </c>
      <c r="AG3" t="inlineStr">
        <is>
          <t>4</t>
        </is>
      </c>
      <c r="AH3" t="inlineStr">
        <is>
          <t>0</t>
        </is>
      </c>
      <c r="AI3" t="inlineStr">
        <is>
          <t>100%</t>
        </is>
      </c>
      <c r="AJ3" t="inlineStr">
        <is>
          <t>100,00%</t>
        </is>
      </c>
      <c r="AK3" t="inlineStr">
        <is>
          <t>03/11/2025</t>
        </is>
      </c>
      <c r="AL3" t="inlineStr">
        <is>
          <t>04/11/2025</t>
        </is>
      </c>
      <c r="AN3" t="inlineStr">
        <is>
          <t>05/11/25</t>
        </is>
      </c>
      <c r="AO3" t="inlineStr">
        <is>
          <t>2025-11-12297</t>
        </is>
      </c>
      <c r="AP3" t="inlineStr">
        <is>
          <t>Q124271</t>
        </is>
      </c>
      <c r="AQ3" t="inlineStr">
        <is>
          <t>-11,440433</t>
        </is>
      </c>
      <c r="AR3" t="inlineStr">
        <is>
          <t>-41,601552</t>
        </is>
      </c>
      <c r="AS3" t="inlineStr">
        <is>
          <t>R$ 61.241,39</t>
        </is>
      </c>
      <c r="AT3" t="inlineStr">
        <is>
          <t>R$ 18.769,22</t>
        </is>
      </c>
      <c r="AU3" t="inlineStr">
        <is>
          <t>2366</t>
        </is>
      </c>
      <c r="BA3" t="inlineStr">
        <is>
          <t>ADD-01W1</t>
        </is>
      </c>
      <c r="BB3" t="inlineStr">
        <is>
          <t>J18598</t>
        </is>
      </c>
      <c r="BI3" t="inlineStr">
        <is>
          <t>Q124271</t>
        </is>
      </c>
      <c r="BJ3" t="inlineStr">
        <is>
          <t>INTERCALAR POSTE AT COM N1-3 ENTRE OS PG: Q124271 - Q124272, FECHAR CHAVE NOVA PRÓXIMO AO PG: Q124271  E ENERGIZAR OBRA.</t>
        </is>
      </c>
      <c r="BK3" t="inlineStr">
        <is>
          <t>REVISADO APÓS ANÁLISE</t>
        </is>
      </c>
    </row>
    <row r="4">
      <c r="A4" t="inlineStr">
        <is>
          <t>9102294127</t>
        </is>
      </c>
      <c r="B4" t="inlineStr">
        <is>
          <t>B-1211158</t>
        </is>
      </c>
      <c r="E4" t="inlineStr">
        <is>
          <t>ER-CIND-FAZ-GUARANY-RURAL</t>
        </is>
      </c>
      <c r="F4" t="inlineStr">
        <is>
          <t>AMÉRICA DOURADA</t>
        </is>
      </c>
      <c r="G4" t="inlineStr">
        <is>
          <t>EM EXECUÇÃO</t>
        </is>
      </c>
      <c r="I4" t="inlineStr">
        <is>
          <t>ALAN NUNES BARRETO - NTS415566</t>
        </is>
      </c>
      <c r="J4" t="inlineStr">
        <is>
          <t>DJALMA RIOS DA CRUZ - NTS411576</t>
        </is>
      </c>
      <c r="K4" t="inlineStr">
        <is>
          <t>JOSE ANTONIO SIMAS NETO - U349485</t>
        </is>
      </c>
      <c r="L4" t="inlineStr">
        <is>
          <t>PLANO 7</t>
        </is>
      </c>
      <c r="M4" t="inlineStr">
        <is>
          <t>QLP</t>
        </is>
      </c>
      <c r="N4" t="inlineStr">
        <is>
          <t>09/10/25</t>
        </is>
      </c>
      <c r="O4" t="inlineStr">
        <is>
          <t>INTERCALAR POSTE MT 11/600 ENTRE OS POSTES E765100 E O E765101</t>
        </is>
      </c>
      <c r="P4" t="inlineStr">
        <is>
          <t>09/10/25</t>
        </is>
      </c>
      <c r="Q4" t="inlineStr">
        <is>
          <t>27/10</t>
        </is>
      </c>
      <c r="S4" t="inlineStr">
        <is>
          <t>2025-140109</t>
        </is>
      </c>
      <c r="T4" t="inlineStr">
        <is>
          <t>01/12/2025</t>
        </is>
      </c>
      <c r="U4" t="inlineStr">
        <is>
          <t>N/A</t>
        </is>
      </c>
      <c r="V4" t="inlineStr">
        <is>
          <t>2025-140116</t>
        </is>
      </c>
      <c r="W4" t="inlineStr">
        <is>
          <t>01/12/2025</t>
        </is>
      </c>
      <c r="X4" t="inlineStr">
        <is>
          <t>N/A</t>
        </is>
      </c>
      <c r="AA4" t="inlineStr">
        <is>
          <t>1040699</t>
        </is>
      </c>
      <c r="AB4" t="inlineStr">
        <is>
          <t>E894579 AO E894595
E810360 AO E810365</t>
        </is>
      </c>
      <c r="AC4" t="inlineStr">
        <is>
          <t>1</t>
        </is>
      </c>
      <c r="AE4" t="inlineStr">
        <is>
          <t>23</t>
        </is>
      </c>
      <c r="AF4" t="inlineStr">
        <is>
          <t>23</t>
        </is>
      </c>
      <c r="AG4" t="inlineStr">
        <is>
          <t>7</t>
        </is>
      </c>
      <c r="AH4" t="inlineStr">
        <is>
          <t>16</t>
        </is>
      </c>
      <c r="AI4" t="inlineStr">
        <is>
          <t>30%</t>
        </is>
      </c>
      <c r="AJ4" t="inlineStr">
        <is>
          <t>100,00%</t>
        </is>
      </c>
      <c r="AK4" t="inlineStr">
        <is>
          <t>05/11/2025</t>
        </is>
      </c>
      <c r="AL4" t="inlineStr">
        <is>
          <t>17/11/2025</t>
        </is>
      </c>
      <c r="AP4" t="inlineStr">
        <is>
          <t>E765100</t>
        </is>
      </c>
      <c r="AQ4" t="inlineStr">
        <is>
          <t>-11,431598</t>
        </is>
      </c>
      <c r="AR4" t="inlineStr">
        <is>
          <t>-41,602491</t>
        </is>
      </c>
      <c r="AS4" t="inlineStr">
        <is>
          <t>R$ 128.341,79</t>
        </is>
      </c>
      <c r="AT4" t="inlineStr">
        <is>
          <t>R$ 35.047,02</t>
        </is>
      </c>
      <c r="AU4" t="inlineStr">
        <is>
          <t>2366</t>
        </is>
      </c>
      <c r="BA4" t="inlineStr">
        <is>
          <t>ADD-01W1</t>
        </is>
      </c>
      <c r="BB4" t="inlineStr">
        <is>
          <t>E23134</t>
        </is>
      </c>
      <c r="BI4" t="inlineStr">
        <is>
          <t>E765100</t>
        </is>
      </c>
      <c r="BJ4" t="inlineStr">
        <is>
          <t>MONTAR BANCADA COM N3 NO PG: E765100, FECHAR CHAVE NOVA PRÓXIMO AO PG: E765100 E ENERGIZAR OBRA.</t>
        </is>
      </c>
      <c r="BK4" t="inlineStr">
        <is>
          <t>REVISADO APÓS ANÁLISE</t>
        </is>
      </c>
    </row>
    <row r="5">
      <c r="A5" t="inlineStr">
        <is>
          <t>9102333973</t>
        </is>
      </c>
      <c r="B5" t="inlineStr">
        <is>
          <t>B-1227493</t>
        </is>
      </c>
      <c r="E5" t="inlineStr">
        <is>
          <t>ER-CIND-FAZ-S O JORGE-SOARES</t>
        </is>
      </c>
      <c r="F5" t="inlineStr">
        <is>
          <t>AMÉRICA DOURADA</t>
        </is>
      </c>
      <c r="G5" t="inlineStr">
        <is>
          <t>PROGRAMADA</t>
        </is>
      </c>
      <c r="I5" t="inlineStr">
        <is>
          <t>EDILSON DE SOUZA SANTOS - NTS284548</t>
        </is>
      </c>
      <c r="J5" t="inlineStr">
        <is>
          <t>DJALMA RIOS DA CRUZ - NTS411576</t>
        </is>
      </c>
      <c r="K5" t="inlineStr">
        <is>
          <t>JOSE ANTONIO SIMAS NETO - U349485</t>
        </is>
      </c>
      <c r="L5" t="inlineStr">
        <is>
          <t>PLANO 7</t>
        </is>
      </c>
      <c r="M5" t="inlineStr">
        <is>
          <t>QLP</t>
        </is>
      </c>
      <c r="N5" t="inlineStr">
        <is>
          <t>09/10/25</t>
        </is>
      </c>
      <c r="O5" t="inlineStr">
        <is>
          <t xml:space="preserve">EXECUTAR ADF CONFORME PROJETO. </t>
        </is>
      </c>
      <c r="P5" t="inlineStr">
        <is>
          <t>09/10/25</t>
        </is>
      </c>
      <c r="Q5" t="inlineStr">
        <is>
          <t>27/10/25</t>
        </is>
      </c>
      <c r="S5" t="inlineStr">
        <is>
          <t>2025-132559
OU  C/ DP</t>
        </is>
      </c>
      <c r="T5" t="inlineStr">
        <is>
          <t>01/12/2025</t>
        </is>
      </c>
      <c r="U5" t="inlineStr">
        <is>
          <t>N/A</t>
        </is>
      </c>
      <c r="V5" t="inlineStr">
        <is>
          <t>2025-132536</t>
        </is>
      </c>
      <c r="W5" t="inlineStr">
        <is>
          <t>01/12/2025</t>
        </is>
      </c>
      <c r="X5" t="inlineStr">
        <is>
          <t>2025-136851</t>
        </is>
      </c>
      <c r="Y5" t="inlineStr">
        <is>
          <t>18/11/2025</t>
        </is>
      </c>
      <c r="Z5" t="inlineStr">
        <is>
          <t>APROVADA</t>
        </is>
      </c>
      <c r="AA5" t="inlineStr">
        <is>
          <t>1040717</t>
        </is>
      </c>
      <c r="AB5" t="inlineStr">
        <is>
          <t>E894850 AO E894857</t>
        </is>
      </c>
      <c r="AC5" t="inlineStr">
        <is>
          <t>1</t>
        </is>
      </c>
      <c r="AE5" t="inlineStr">
        <is>
          <t>8</t>
        </is>
      </c>
      <c r="AH5" t="inlineStr">
        <is>
          <t>8</t>
        </is>
      </c>
      <c r="AI5" t="inlineStr">
        <is>
          <t>0%</t>
        </is>
      </c>
      <c r="AJ5" t="inlineStr">
        <is>
          <t>100,00%</t>
        </is>
      </c>
      <c r="AK5" t="inlineStr">
        <is>
          <t>13/11/2025</t>
        </is>
      </c>
      <c r="AL5" t="inlineStr">
        <is>
          <t>18/11/2025</t>
        </is>
      </c>
      <c r="AP5" t="inlineStr">
        <is>
          <t>E414734</t>
        </is>
      </c>
      <c r="AQ5" t="inlineStr">
        <is>
          <t>-11,324178</t>
        </is>
      </c>
      <c r="AR5" t="inlineStr">
        <is>
          <t>-41,463986</t>
        </is>
      </c>
      <c r="AS5" t="inlineStr">
        <is>
          <t>R$ 78.162,04</t>
        </is>
      </c>
      <c r="AT5" t="inlineStr">
        <is>
          <t>R$ 25.934,34</t>
        </is>
      </c>
      <c r="AU5" t="inlineStr">
        <is>
          <t>2295</t>
        </is>
      </c>
      <c r="AX5" t="inlineStr">
        <is>
          <t>0,37</t>
        </is>
      </c>
      <c r="BA5" t="inlineStr">
        <is>
          <t>ADD-01W2</t>
        </is>
      </c>
      <c r="BB5" t="inlineStr">
        <is>
          <t>V30589</t>
        </is>
      </c>
      <c r="BI5" t="inlineStr">
        <is>
          <t>E414733</t>
        </is>
      </c>
      <c r="BJ5" t="inlineStr">
        <is>
          <t>ABRIR CHAVE V30589 PARA DICIONAR FASE DO PG: E414729 AO E414734 E ENERGIZAR OBRA.</t>
        </is>
      </c>
      <c r="BK5" t="inlineStr">
        <is>
          <t>REVISADO APÓS ANÁLISE</t>
        </is>
      </c>
    </row>
    <row r="6">
      <c r="A6" t="inlineStr">
        <is>
          <t>9102343091</t>
        </is>
      </c>
      <c r="B6" t="inlineStr">
        <is>
          <t>B-1228400</t>
        </is>
      </c>
      <c r="E6" t="inlineStr">
        <is>
          <t>ER-CIND-POV-LEOPOLDINA 5555-RR-LEOPOLDIN</t>
        </is>
      </c>
      <c r="F6" t="inlineStr">
        <is>
          <t>BARRA DO MENDES</t>
        </is>
      </c>
      <c r="G6" t="inlineStr">
        <is>
          <t>RETIRADA DA CARTEIRA</t>
        </is>
      </c>
      <c r="H6" t="inlineStr">
        <is>
          <t>RETIRADA DA CARTEIRA DIA 13/10 PELA COELBA</t>
        </is>
      </c>
      <c r="J6" t="inlineStr">
        <is>
          <t>#N/A</t>
        </is>
      </c>
      <c r="K6" t="inlineStr">
        <is>
          <t>ALINE LIMA SILVA - U468383</t>
        </is>
      </c>
      <c r="L6" t="inlineStr">
        <is>
          <t>PLANO 7</t>
        </is>
      </c>
      <c r="M6" t="inlineStr">
        <is>
          <t>QLP</t>
        </is>
      </c>
      <c r="N6" t="inlineStr">
        <is>
          <t>08/10/25</t>
        </is>
      </c>
      <c r="O6" t="inlineStr">
        <is>
          <t xml:space="preserve">OBRA APITA PARA CONSTRUÇÃO.CONFOME PROJETO </t>
        </is>
      </c>
      <c r="P6" t="inlineStr">
        <is>
          <t>09/10/25</t>
        </is>
      </c>
      <c r="Q6" t="inlineStr">
        <is>
          <t>SOLICITAR</t>
        </is>
      </c>
      <c r="AA6" t="inlineStr">
        <is>
          <t>1040710</t>
        </is>
      </c>
      <c r="AB6" t="inlineStr">
        <is>
          <t>E894740 AO E894764</t>
        </is>
      </c>
      <c r="AC6" t="inlineStr">
        <is>
          <t>7</t>
        </is>
      </c>
      <c r="AE6" t="inlineStr">
        <is>
          <t>25</t>
        </is>
      </c>
      <c r="AH6" t="inlineStr">
        <is>
          <t>0</t>
        </is>
      </c>
      <c r="AI6" t="inlineStr">
        <is>
          <t>0%</t>
        </is>
      </c>
      <c r="AP6" t="inlineStr">
        <is>
          <t>B725191</t>
        </is>
      </c>
      <c r="AQ6" t="inlineStr">
        <is>
          <t>-11,779250</t>
        </is>
      </c>
      <c r="AR6" t="inlineStr">
        <is>
          <t>-41,980767</t>
        </is>
      </c>
      <c r="AS6" t="inlineStr">
        <is>
          <t>R$ 227.948,85</t>
        </is>
      </c>
      <c r="AT6" t="inlineStr">
        <is>
          <t>R$ 68.547,12</t>
        </is>
      </c>
      <c r="AU6" t="inlineStr">
        <is>
          <t>#N/A</t>
        </is>
      </c>
      <c r="AW6" t="inlineStr">
        <is>
          <t>0,12</t>
        </is>
      </c>
      <c r="AX6" t="inlineStr">
        <is>
          <t>0,70</t>
        </is>
      </c>
      <c r="BA6" t="inlineStr">
        <is>
          <t>IBB-01Y7</t>
        </is>
      </c>
      <c r="BB6" t="inlineStr">
        <is>
          <t>N52592</t>
        </is>
      </c>
      <c r="BI6" t="inlineStr">
        <is>
          <t>B725191</t>
        </is>
      </c>
      <c r="BJ6" t="inlineStr">
        <is>
          <t>MONTAR BANCADA NO PG: B725191 E ENERGIZAR OBRA.</t>
        </is>
      </c>
      <c r="BK6" t="inlineStr">
        <is>
          <t>.</t>
        </is>
      </c>
    </row>
    <row r="7">
      <c r="A7" t="inlineStr">
        <is>
          <t>9102101112</t>
        </is>
      </c>
      <c r="B7" t="inlineStr">
        <is>
          <t>B-1152082</t>
        </is>
      </c>
      <c r="C7" t="inlineStr">
        <is>
          <t>N/A</t>
        </is>
      </c>
      <c r="D7" t="inlineStr">
        <is>
          <t>N/A</t>
        </is>
      </c>
      <c r="E7" t="inlineStr">
        <is>
          <t>AC - CIND POV  ACHADO - RURAL</t>
        </is>
      </c>
      <c r="F7" t="inlineStr">
        <is>
          <t>BARRO ALTO</t>
        </is>
      </c>
      <c r="G7" t="inlineStr">
        <is>
          <t>EM EXECUÇÃO</t>
        </is>
      </c>
      <c r="H7" t="inlineStr">
        <is>
          <t>NO SISTEMA JÁ CONSTA TRIFÁSICO, VERIFICAR EM CAMPO</t>
        </is>
      </c>
      <c r="I7" t="inlineStr">
        <is>
          <t>IRISMAR MARQUES SILVA - NTS493543</t>
        </is>
      </c>
      <c r="J7" t="inlineStr">
        <is>
          <t>HIAGO DE CIRQUEIRA PEREIRA - NTS449580</t>
        </is>
      </c>
      <c r="K7" t="inlineStr">
        <is>
          <t>ALINE LIMA SILVA - U468383</t>
        </is>
      </c>
      <c r="L7" t="inlineStr">
        <is>
          <t>PLANO 7</t>
        </is>
      </c>
      <c r="M7" t="inlineStr">
        <is>
          <t>QLP</t>
        </is>
      </c>
      <c r="N7" t="inlineStr">
        <is>
          <t>13/10/25</t>
        </is>
      </c>
      <c r="O7" t="inlineStr">
        <is>
          <t xml:space="preserve">OBRA APITA PARA CONSTRUÇÃO </t>
        </is>
      </c>
      <c r="P7" t="inlineStr">
        <is>
          <t>14/10/25</t>
        </is>
      </c>
      <c r="Q7" t="inlineStr">
        <is>
          <t>27/10/25</t>
        </is>
      </c>
      <c r="S7" t="inlineStr">
        <is>
          <t>2025-137943</t>
        </is>
      </c>
      <c r="T7" t="inlineStr">
        <is>
          <t>N/A</t>
        </is>
      </c>
      <c r="U7" t="inlineStr">
        <is>
          <t>N/A</t>
        </is>
      </c>
      <c r="V7" t="inlineStr">
        <is>
          <t>2025-132849</t>
        </is>
      </c>
      <c r="W7" t="inlineStr">
        <is>
          <t>13/11/2025</t>
        </is>
      </c>
      <c r="X7" t="inlineStr">
        <is>
          <t>2025-132849</t>
        </is>
      </c>
      <c r="Y7" t="inlineStr">
        <is>
          <t>13/11/2025</t>
        </is>
      </c>
      <c r="Z7" t="inlineStr">
        <is>
          <t>APROVADA</t>
        </is>
      </c>
      <c r="AA7" t="inlineStr">
        <is>
          <t>1040688</t>
        </is>
      </c>
      <c r="AB7" t="inlineStr">
        <is>
          <t>E894463 AO E894470</t>
        </is>
      </c>
      <c r="AC7" t="inlineStr">
        <is>
          <t>1</t>
        </is>
      </c>
      <c r="AD7" t="inlineStr">
        <is>
          <t>0</t>
        </is>
      </c>
      <c r="AE7" t="inlineStr">
        <is>
          <t>3</t>
        </is>
      </c>
      <c r="AF7" t="inlineStr">
        <is>
          <t>3</t>
        </is>
      </c>
      <c r="AH7" t="inlineStr">
        <is>
          <t>3</t>
        </is>
      </c>
      <c r="AI7" t="inlineStr">
        <is>
          <t>0%</t>
        </is>
      </c>
      <c r="AJ7" t="inlineStr">
        <is>
          <t>100,00%</t>
        </is>
      </c>
      <c r="AK7" t="inlineStr">
        <is>
          <t>12/11/2025</t>
        </is>
      </c>
      <c r="AL7" t="inlineStr">
        <is>
          <t>13/11/2025</t>
        </is>
      </c>
      <c r="AP7" t="inlineStr">
        <is>
          <t>E733687</t>
        </is>
      </c>
      <c r="AQ7" t="inlineStr">
        <is>
          <t>-11,808347</t>
        </is>
      </c>
      <c r="AR7" t="inlineStr">
        <is>
          <t>-41,852638</t>
        </is>
      </c>
      <c r="AS7" t="inlineStr">
        <is>
          <t>R$ 216.353,90</t>
        </is>
      </c>
      <c r="AT7" t="inlineStr">
        <is>
          <t>R$ 108.618,40</t>
        </is>
      </c>
      <c r="AU7" t="inlineStr">
        <is>
          <t>2290</t>
        </is>
      </c>
      <c r="BA7" t="inlineStr">
        <is>
          <t>IBB-01Y8</t>
        </is>
      </c>
      <c r="BB7" t="inlineStr">
        <is>
          <t>E25060</t>
        </is>
      </c>
      <c r="BI7" t="inlineStr">
        <is>
          <t>Q128081</t>
        </is>
      </c>
      <c r="BJ7" t="inlineStr">
        <is>
          <t xml:space="preserve">SUBSTITUIR POSTES AT  POR POSTES DE MAIOR ESFORÇO NOS PG:  Q128081,  Q128093, Q128094, Q132959, Q132962, Q133002. </t>
        </is>
      </c>
      <c r="BK7" t="inlineStr">
        <is>
          <t>REVISADO APÓS ANÁLISE</t>
        </is>
      </c>
    </row>
    <row r="8">
      <c r="A8" t="inlineStr">
        <is>
          <t>9102283005</t>
        </is>
      </c>
      <c r="B8" t="inlineStr">
        <is>
          <t>B-1206961</t>
        </is>
      </c>
      <c r="E8" t="inlineStr">
        <is>
          <t>ER-CIND-POV-CAMPO FORMOSO-RURAL</t>
        </is>
      </c>
      <c r="F8" t="inlineStr">
        <is>
          <t>BARRO ALTO</t>
        </is>
      </c>
      <c r="G8" t="inlineStr">
        <is>
          <t>EM EXECUÇÃO</t>
        </is>
      </c>
      <c r="I8" t="inlineStr">
        <is>
          <t>JAILSON SANTOS SILVA - NTS296579</t>
        </is>
      </c>
      <c r="J8" t="inlineStr">
        <is>
          <t>HIAGO DE CIRQUEIRA PEREIRA - NTS449580</t>
        </is>
      </c>
      <c r="K8" t="inlineStr">
        <is>
          <t>ALINE LIMA SILVA - U468383</t>
        </is>
      </c>
      <c r="L8" t="inlineStr">
        <is>
          <t>PLANO 7</t>
        </is>
      </c>
      <c r="M8" t="inlineStr">
        <is>
          <t>QLP</t>
        </is>
      </c>
      <c r="N8" t="inlineStr">
        <is>
          <t>13/10/25</t>
        </is>
      </c>
      <c r="O8" t="inlineStr">
        <is>
          <t xml:space="preserve">OBRA APITA OARA CONSTRUÇÃO CONFORME PROJETO </t>
        </is>
      </c>
      <c r="P8" t="inlineStr">
        <is>
          <t>14/10/25</t>
        </is>
      </c>
      <c r="Q8" t="inlineStr">
        <is>
          <t>27/10/25</t>
        </is>
      </c>
      <c r="S8" t="inlineStr">
        <is>
          <t>2025-132662</t>
        </is>
      </c>
      <c r="T8" t="inlineStr">
        <is>
          <t>01/12/2025</t>
        </is>
      </c>
      <c r="U8" t="inlineStr">
        <is>
          <t>2025-140779</t>
        </is>
      </c>
      <c r="V8" t="inlineStr">
        <is>
          <t>2025-132669</t>
        </is>
      </c>
      <c r="W8" t="inlineStr">
        <is>
          <t>01/12/2025</t>
        </is>
      </c>
      <c r="X8" t="inlineStr">
        <is>
          <t>2025-132825</t>
        </is>
      </c>
      <c r="Y8" t="inlineStr">
        <is>
          <t>11/11/2025</t>
        </is>
      </c>
      <c r="Z8" t="inlineStr">
        <is>
          <t>APROVADA</t>
        </is>
      </c>
      <c r="AA8" t="inlineStr">
        <is>
          <t>1040696</t>
        </is>
      </c>
      <c r="AB8" t="inlineStr">
        <is>
          <t>E894547 AO E894555</t>
        </is>
      </c>
      <c r="AC8" t="inlineStr">
        <is>
          <t>1</t>
        </is>
      </c>
      <c r="AE8" t="inlineStr">
        <is>
          <t>10</t>
        </is>
      </c>
      <c r="AF8" t="inlineStr">
        <is>
          <t>10</t>
        </is>
      </c>
      <c r="AG8" t="inlineStr">
        <is>
          <t>9</t>
        </is>
      </c>
      <c r="AH8" t="inlineStr">
        <is>
          <t>1</t>
        </is>
      </c>
      <c r="AI8" t="inlineStr">
        <is>
          <t>90%</t>
        </is>
      </c>
      <c r="AJ8" t="inlineStr">
        <is>
          <t>100,00%</t>
        </is>
      </c>
      <c r="AK8" t="inlineStr">
        <is>
          <t>03/11/2025</t>
        </is>
      </c>
      <c r="AL8" t="inlineStr">
        <is>
          <t>11/11/2025</t>
        </is>
      </c>
      <c r="AP8" t="inlineStr">
        <is>
          <t>Q200018</t>
        </is>
      </c>
      <c r="AQ8" t="inlineStr">
        <is>
          <t>-11,874596</t>
        </is>
      </c>
      <c r="AR8" t="inlineStr">
        <is>
          <t>-41,850519</t>
        </is>
      </c>
      <c r="AS8" t="inlineStr">
        <is>
          <t>R$ 90.697,73</t>
        </is>
      </c>
      <c r="AT8" t="inlineStr">
        <is>
          <t>R$ 23.951,95</t>
        </is>
      </c>
      <c r="AU8" t="inlineStr">
        <is>
          <t>2291</t>
        </is>
      </c>
      <c r="BA8" t="inlineStr">
        <is>
          <t>IBB-01Y7</t>
        </is>
      </c>
      <c r="BB8" t="inlineStr">
        <is>
          <t>J15127</t>
        </is>
      </c>
      <c r="BI8" t="inlineStr">
        <is>
          <t>Q200001</t>
        </is>
      </c>
      <c r="BJ8" t="inlineStr">
        <is>
          <t>BATER ESTRIBO NO PG: Q200001  E ADICIONAR 01 VÃO DE RD MT DO PG: Q200001 AO Q200002 E ENECABEÇAR RD MT NO MESMO PG E ENERGIZAR OBRA.</t>
        </is>
      </c>
      <c r="BK8" t="inlineStr">
        <is>
          <t>REVISADO APÓS ANÁLISE</t>
        </is>
      </c>
    </row>
    <row r="9">
      <c r="A9" t="inlineStr">
        <is>
          <t>9102284523</t>
        </is>
      </c>
      <c r="B9" t="inlineStr">
        <is>
          <t>B-1207659</t>
        </is>
      </c>
      <c r="C9" t="inlineStr">
        <is>
          <t>N/A</t>
        </is>
      </c>
      <c r="D9" t="inlineStr">
        <is>
          <t>N/A</t>
        </is>
      </c>
      <c r="E9" t="inlineStr">
        <is>
          <t>UB-CIND-POV-PENDAO VERMELHO-CENTRO</t>
        </is>
      </c>
      <c r="F9" t="inlineStr">
        <is>
          <t>BARRO ALTO</t>
        </is>
      </c>
      <c r="G9" t="inlineStr">
        <is>
          <t>PROGRAMADA</t>
        </is>
      </c>
      <c r="H9" t="inlineStr">
        <is>
          <t>DESLIGAMENTO CONTEMPLA ADF DO PROJETO B-1225231</t>
        </is>
      </c>
      <c r="I9" t="inlineStr">
        <is>
          <t>JAILSON SANTOS SILVA - NTS296579</t>
        </is>
      </c>
      <c r="J9" t="inlineStr">
        <is>
          <t>HIAGO DE CIRQUEIRA PEREIRA - NTS449580</t>
        </is>
      </c>
      <c r="K9" t="inlineStr">
        <is>
          <t>ALINE LIMA SILVA - U468383</t>
        </is>
      </c>
      <c r="L9" t="inlineStr">
        <is>
          <t>PLANO 7</t>
        </is>
      </c>
      <c r="M9" t="inlineStr">
        <is>
          <t>QLP</t>
        </is>
      </c>
      <c r="N9" t="inlineStr">
        <is>
          <t>09/10/25</t>
        </is>
      </c>
      <c r="O9" t="inlineStr">
        <is>
          <t>OBRAS APITA PARA CONSTRUÇÃO, B-1207659, B-1225231 UMA DEPENDE DA OUTRA NO QUE SE DIZ RESPEITO A ADF. SÃO A MESMA DERIVAÇÃO</t>
        </is>
      </c>
      <c r="P9" t="inlineStr">
        <is>
          <t>16/10/25</t>
        </is>
      </c>
      <c r="Q9" t="inlineStr">
        <is>
          <t>27/10/25</t>
        </is>
      </c>
      <c r="S9" t="inlineStr">
        <is>
          <t>2025-132665</t>
        </is>
      </c>
      <c r="T9" t="inlineStr">
        <is>
          <t>01/12/2025</t>
        </is>
      </c>
      <c r="U9" t="inlineStr">
        <is>
          <t>N/A</t>
        </is>
      </c>
      <c r="V9" t="inlineStr">
        <is>
          <t>2025-132673</t>
        </is>
      </c>
      <c r="W9" t="inlineStr">
        <is>
          <t>01/12/2025</t>
        </is>
      </c>
      <c r="X9" t="inlineStr">
        <is>
          <t>2025-132808</t>
        </is>
      </c>
      <c r="Y9" t="inlineStr">
        <is>
          <t>19/11/2025</t>
        </is>
      </c>
      <c r="Z9" t="inlineStr">
        <is>
          <t>APROVADA</t>
        </is>
      </c>
      <c r="AA9" t="inlineStr">
        <is>
          <t>1040697</t>
        </is>
      </c>
      <c r="AB9" t="inlineStr">
        <is>
          <t>E894556 AO E894563</t>
        </is>
      </c>
      <c r="AC9" t="inlineStr">
        <is>
          <t>1</t>
        </is>
      </c>
      <c r="AD9" t="inlineStr">
        <is>
          <t>0</t>
        </is>
      </c>
      <c r="AE9" t="inlineStr">
        <is>
          <t>8</t>
        </is>
      </c>
      <c r="AH9" t="inlineStr">
        <is>
          <t>8</t>
        </is>
      </c>
      <c r="AI9" t="inlineStr">
        <is>
          <t>0%</t>
        </is>
      </c>
      <c r="AJ9" t="inlineStr">
        <is>
          <t>100,00%</t>
        </is>
      </c>
      <c r="AK9" t="inlineStr">
        <is>
          <t>14/11/2025</t>
        </is>
      </c>
      <c r="AL9" t="inlineStr">
        <is>
          <t>19/11/2025</t>
        </is>
      </c>
      <c r="AP9" t="inlineStr">
        <is>
          <t>Q199834</t>
        </is>
      </c>
      <c r="AQ9" t="inlineStr">
        <is>
          <t>-11,870811</t>
        </is>
      </c>
      <c r="AR9" t="inlineStr">
        <is>
          <t>-41,830110</t>
        </is>
      </c>
      <c r="AS9" t="inlineStr">
        <is>
          <t>R$ 100.689,96</t>
        </is>
      </c>
      <c r="AT9" t="inlineStr">
        <is>
          <t>R$ 26.775,80</t>
        </is>
      </c>
      <c r="AU9" t="inlineStr">
        <is>
          <t>2291</t>
        </is>
      </c>
      <c r="AX9" t="inlineStr">
        <is>
          <t>0,12</t>
        </is>
      </c>
      <c r="BA9" t="inlineStr">
        <is>
          <t>IBB-01Y7</t>
        </is>
      </c>
      <c r="BB9" t="inlineStr">
        <is>
          <t>H67221</t>
        </is>
      </c>
      <c r="BI9" t="inlineStr">
        <is>
          <t>Q199834</t>
        </is>
      </c>
      <c r="BJ9" t="inlineStr">
        <is>
          <t xml:space="preserve">ADICIONAR 02 VÃ DE RD MT DO PG: Q199834 AO Q102966 E CONECTAR FASE SENTIDO LADO CARGA </t>
        </is>
      </c>
      <c r="BK9" t="inlineStr">
        <is>
          <t>REVISADO APÓS ANÁLISE</t>
        </is>
      </c>
    </row>
    <row r="10">
      <c r="A10" t="inlineStr">
        <is>
          <t>9102342152</t>
        </is>
      </c>
      <c r="B10" t="inlineStr">
        <is>
          <t>B-1225231</t>
        </is>
      </c>
      <c r="E10" t="inlineStr">
        <is>
          <t>ER-CIND-POV-PENDAO VERMELHO-PENDAO VERME</t>
        </is>
      </c>
      <c r="F10" t="inlineStr">
        <is>
          <t>BARRO ALTO</t>
        </is>
      </c>
      <c r="G10" t="inlineStr">
        <is>
          <t>PROGRAMADA</t>
        </is>
      </c>
      <c r="H10" t="inlineStr">
        <is>
          <t>MESMO TRECHO DA ADF DO PROJETO B-1207659</t>
        </is>
      </c>
      <c r="I10" t="inlineStr">
        <is>
          <t>JAILSON SANTOS SILVA - NTS296579</t>
        </is>
      </c>
      <c r="J10" t="inlineStr">
        <is>
          <t>HIAGO DE CIRQUEIRA PEREIRA - NTS449580</t>
        </is>
      </c>
      <c r="K10" t="inlineStr">
        <is>
          <t>ALINE LIMA SILVA - U468383</t>
        </is>
      </c>
      <c r="L10" t="inlineStr">
        <is>
          <t>PLANO 7</t>
        </is>
      </c>
      <c r="M10" t="inlineStr">
        <is>
          <t>QLP</t>
        </is>
      </c>
      <c r="N10" t="inlineStr">
        <is>
          <t>16/10/25</t>
        </is>
      </c>
      <c r="O10" t="inlineStr">
        <is>
          <t>OBRAS APITA PARA CONSTRUÇÃO, B-1207659, B-1225231 UMA DEPENDE DA OUTRA NO QUE SE DIZ RESPEITO A ADF. SÃO A MESMA DERIVAÇÃO</t>
        </is>
      </c>
      <c r="P10" t="inlineStr">
        <is>
          <t>16/10/25</t>
        </is>
      </c>
      <c r="Q10" t="inlineStr">
        <is>
          <t>27/10/25</t>
        </is>
      </c>
      <c r="S10" t="inlineStr">
        <is>
          <t>2025-137983</t>
        </is>
      </c>
      <c r="T10" t="inlineStr">
        <is>
          <t>01/12/2025</t>
        </is>
      </c>
      <c r="U10" t="inlineStr">
        <is>
          <t>N/A</t>
        </is>
      </c>
      <c r="V10" t="inlineStr">
        <is>
          <t>2025-134467</t>
        </is>
      </c>
      <c r="W10" t="inlineStr">
        <is>
          <t>01/12/2025</t>
        </is>
      </c>
      <c r="X10" t="inlineStr">
        <is>
          <t>N/A</t>
        </is>
      </c>
      <c r="AA10" t="inlineStr">
        <is>
          <t>1040706</t>
        </is>
      </c>
      <c r="AB10" t="inlineStr">
        <is>
          <t>E894670 AO E894684</t>
        </is>
      </c>
      <c r="AC10" t="inlineStr">
        <is>
          <t>1</t>
        </is>
      </c>
      <c r="AE10" t="inlineStr">
        <is>
          <t>15</t>
        </is>
      </c>
      <c r="AH10" t="inlineStr">
        <is>
          <t>15</t>
        </is>
      </c>
      <c r="AI10" t="inlineStr">
        <is>
          <t>0%</t>
        </is>
      </c>
      <c r="AJ10" t="inlineStr">
        <is>
          <t>100,00%</t>
        </is>
      </c>
      <c r="AK10" t="inlineStr">
        <is>
          <t>20/11/2025</t>
        </is>
      </c>
      <c r="AL10" t="inlineStr">
        <is>
          <t>25/11/2025</t>
        </is>
      </c>
      <c r="AP10" t="inlineStr">
        <is>
          <t>Q199834</t>
        </is>
      </c>
      <c r="AQ10" t="inlineStr">
        <is>
          <t>-11,870811</t>
        </is>
      </c>
      <c r="AR10" t="inlineStr">
        <is>
          <t>-41,830110</t>
        </is>
      </c>
      <c r="AS10" t="inlineStr">
        <is>
          <t>R$ 138.088,94</t>
        </is>
      </c>
      <c r="AT10" t="inlineStr">
        <is>
          <t>R$ 39.805,11</t>
        </is>
      </c>
      <c r="AU10" t="inlineStr">
        <is>
          <t>2291</t>
        </is>
      </c>
      <c r="AX10" t="inlineStr">
        <is>
          <t>0,37</t>
        </is>
      </c>
      <c r="BA10" t="inlineStr">
        <is>
          <t>IBB-01Y7</t>
        </is>
      </c>
      <c r="BB10" t="inlineStr">
        <is>
          <t>J14775</t>
        </is>
      </c>
      <c r="BI10" t="inlineStr">
        <is>
          <t>Q199804</t>
        </is>
      </c>
      <c r="BJ10" t="inlineStr">
        <is>
          <t>MONTAR BANCADA COM N3  NO PG: Q199804,   FECHAR CHAVE NOVA PRÓXIMO AO PG: Q199804 E ENERGIZAR OBRA.</t>
        </is>
      </c>
      <c r="BK10" t="inlineStr">
        <is>
          <t>REVISADO APÓS ANÁLISE</t>
        </is>
      </c>
    </row>
    <row r="11">
      <c r="A11" t="inlineStr">
        <is>
          <t>9101909557</t>
        </is>
      </c>
      <c r="B11" t="inlineStr">
        <is>
          <t>B-1107829</t>
        </is>
      </c>
      <c r="C11" t="inlineStr">
        <is>
          <t>N/A</t>
        </is>
      </c>
      <c r="D11" t="inlineStr">
        <is>
          <t>N/A</t>
        </is>
      </c>
      <c r="E11" t="inlineStr">
        <is>
          <t>ME-COEL-RUA-JOSE SOARES FRANCA 26-CENTRO</t>
        </is>
      </c>
      <c r="F11" t="inlineStr">
        <is>
          <t>CAFARNAUM</t>
        </is>
      </c>
      <c r="G11" t="inlineStr">
        <is>
          <t>RETIRADA DA CARTEIRA</t>
        </is>
      </c>
      <c r="H11" t="inlineStr">
        <is>
          <t>OBRA URBANA DE DIFÍCIL EXECUÇÃO. SÃO NECESSÁRIO EM MÉDIA 3 OU 4 DESLIGAMENTO PARA CONCLUSÃO.</t>
        </is>
      </c>
      <c r="J11" t="inlineStr">
        <is>
          <t>#N/A</t>
        </is>
      </c>
      <c r="K11" t="inlineStr">
        <is>
          <t>MANOEL MESSIAS ALENCAR - U359765</t>
        </is>
      </c>
      <c r="L11" t="inlineStr">
        <is>
          <t>PLANO 8</t>
        </is>
      </c>
      <c r="M11" t="inlineStr">
        <is>
          <t>AL/MELHORAMENTO</t>
        </is>
      </c>
      <c r="N11" t="inlineStr">
        <is>
          <t>15/10/25</t>
        </is>
      </c>
      <c r="O11" t="inlineStr">
        <is>
          <t>DA PRA FAZER O RECONDURORAMENTO BT. POREM, SAO MUITAS RECOMPOSIÇÃO DE PASSEIOS, MUITOS RAMAIS PRA REALOCAR E TROCAR</t>
        </is>
      </c>
      <c r="AA11" t="inlineStr">
        <is>
          <t>1040694</t>
        </is>
      </c>
      <c r="AB11" t="inlineStr">
        <is>
          <t>E894523 AO E894540</t>
        </is>
      </c>
      <c r="AC11" t="inlineStr">
        <is>
          <t>0</t>
        </is>
      </c>
      <c r="AD11" t="inlineStr">
        <is>
          <t>0</t>
        </is>
      </c>
      <c r="AE11" t="inlineStr">
        <is>
          <t>18</t>
        </is>
      </c>
      <c r="AH11" t="inlineStr">
        <is>
          <t>18</t>
        </is>
      </c>
      <c r="AI11" t="inlineStr">
        <is>
          <t>0%</t>
        </is>
      </c>
      <c r="AP11" t="inlineStr">
        <is>
          <t>Q124841</t>
        </is>
      </c>
      <c r="AQ11" t="inlineStr">
        <is>
          <t>-11,696341</t>
        </is>
      </c>
      <c r="AR11" t="inlineStr">
        <is>
          <t>-41,468445</t>
        </is>
      </c>
      <c r="AS11" t="inlineStr">
        <is>
          <t>R$ 122.842,89</t>
        </is>
      </c>
      <c r="AT11" t="inlineStr">
        <is>
          <t>R$ 46.442,91</t>
        </is>
      </c>
      <c r="AU11" t="inlineStr">
        <is>
          <t>#N/A</t>
        </is>
      </c>
      <c r="BA11" t="inlineStr">
        <is>
          <t>AMD-01N1</t>
        </is>
      </c>
      <c r="BB11" t="inlineStr">
        <is>
          <t>J52511</t>
        </is>
      </c>
      <c r="BI11" t="inlineStr">
        <is>
          <t>Q124844</t>
        </is>
      </c>
      <c r="BJ11" t="inlineStr">
        <is>
          <t xml:space="preserve">INTERCALAR POSTE C/ B3 E BANCADA PARA TRAFO ENTRE OS PG: Q124844 - Q124840, SUBSTITUIR POSTE Q124840 </t>
        </is>
      </c>
      <c r="BK11" t="inlineStr">
        <is>
          <t>.</t>
        </is>
      </c>
    </row>
    <row r="12">
      <c r="A12" t="inlineStr">
        <is>
          <t>9102299101</t>
        </is>
      </c>
      <c r="B12" t="inlineStr">
        <is>
          <t>B-1210478</t>
        </is>
      </c>
      <c r="C12" t="inlineStr">
        <is>
          <t>CRIAR</t>
        </is>
      </c>
      <c r="D12" t="inlineStr">
        <is>
          <t>CRIAR</t>
        </is>
      </c>
      <c r="E12" t="inlineStr">
        <is>
          <t>ER-CIND-POV PIMENTA 147-PIMENTA</t>
        </is>
      </c>
      <c r="F12" t="inlineStr">
        <is>
          <t>CAFARNAUM</t>
        </is>
      </c>
      <c r="G12" t="inlineStr">
        <is>
          <t>PROGRAMADA</t>
        </is>
      </c>
      <c r="I12" t="inlineStr">
        <is>
          <t>JAILSON SANTOS SILVA - NTS296579</t>
        </is>
      </c>
      <c r="J12" t="inlineStr">
        <is>
          <t>HIAGO DE CIRQUEIRA PEREIRA - NTS449580</t>
        </is>
      </c>
      <c r="K12" t="inlineStr">
        <is>
          <t>MANOEL MESSIAS ALENCAR - U359765</t>
        </is>
      </c>
      <c r="L12" t="inlineStr">
        <is>
          <t>PLANO 7 ALTERAR P/ 14</t>
        </is>
      </c>
      <c r="M12" t="inlineStr">
        <is>
          <t>QLP</t>
        </is>
      </c>
      <c r="N12" t="inlineStr">
        <is>
          <t>15/10/25</t>
        </is>
      </c>
      <c r="O12" t="inlineStr">
        <is>
          <t xml:space="preserve">A OBRA DERIVA DA ULTIMA N3-3 DA ADF DE PIMENTA B-1156677, ENCABEÇAR REDE MT CONFORME PROJETO.  N3-3 PARA N4-3  </t>
        </is>
      </c>
      <c r="P12" t="inlineStr">
        <is>
          <t>16/10/25</t>
        </is>
      </c>
      <c r="Q12" t="inlineStr">
        <is>
          <t>27/10/25</t>
        </is>
      </c>
      <c r="S12" t="inlineStr">
        <is>
          <t>2025-134377</t>
        </is>
      </c>
      <c r="T12" t="inlineStr">
        <is>
          <t>01/12/2025</t>
        </is>
      </c>
      <c r="U12" t="inlineStr">
        <is>
          <t>N/A</t>
        </is>
      </c>
      <c r="V12" t="inlineStr">
        <is>
          <t>2025-134474</t>
        </is>
      </c>
      <c r="W12" t="inlineStr">
        <is>
          <t>01/12/2025</t>
        </is>
      </c>
      <c r="X12" t="inlineStr">
        <is>
          <t>N/A</t>
        </is>
      </c>
      <c r="AA12" t="inlineStr">
        <is>
          <t>1040698</t>
        </is>
      </c>
      <c r="AB12" t="inlineStr">
        <is>
          <t>E894564 AO E894578</t>
        </is>
      </c>
      <c r="AC12" t="inlineStr">
        <is>
          <t>1</t>
        </is>
      </c>
      <c r="AD12" t="inlineStr">
        <is>
          <t>1</t>
        </is>
      </c>
      <c r="AE12" t="inlineStr">
        <is>
          <t>15</t>
        </is>
      </c>
      <c r="AH12" t="inlineStr">
        <is>
          <t>15</t>
        </is>
      </c>
      <c r="AI12" t="inlineStr">
        <is>
          <t>0%</t>
        </is>
      </c>
      <c r="AJ12" t="inlineStr">
        <is>
          <t>100,00%</t>
        </is>
      </c>
      <c r="AK12" t="inlineStr">
        <is>
          <t>26/11/2025</t>
        </is>
      </c>
      <c r="AL12" t="inlineStr">
        <is>
          <t>30/11/2025</t>
        </is>
      </c>
      <c r="AP12" t="inlineStr">
        <is>
          <t>B738593</t>
        </is>
      </c>
      <c r="AQ12" t="inlineStr">
        <is>
          <t>-11,854066</t>
        </is>
      </c>
      <c r="AR12" t="inlineStr">
        <is>
          <t>-41,613738</t>
        </is>
      </c>
      <c r="AS12" t="inlineStr">
        <is>
          <t>R$ 115.603,18</t>
        </is>
      </c>
      <c r="AT12" t="inlineStr">
        <is>
          <t>R$ 32.591,60</t>
        </is>
      </c>
      <c r="AU12" t="inlineStr">
        <is>
          <t>2291</t>
        </is>
      </c>
      <c r="AW12" t="inlineStr">
        <is>
          <t>0,18</t>
        </is>
      </c>
      <c r="BA12" t="inlineStr">
        <is>
          <t>MGM-09Z5</t>
        </is>
      </c>
      <c r="BB12" t="inlineStr">
        <is>
          <t>G59311</t>
        </is>
      </c>
      <c r="BI12" t="inlineStr">
        <is>
          <t>B738593</t>
        </is>
      </c>
      <c r="BJ12" t="inlineStr">
        <is>
          <t>ALTERAR ESTRUTURA DE N3-3 P/ N4-3 NO PG: B738593, FECHAR CHAVE NOVA PRÓXIMO AO PG: B738593 E ENERGIZAR OBRA.</t>
        </is>
      </c>
      <c r="BK12" t="inlineStr">
        <is>
          <t>REVISADO APÓS ANÁLISE</t>
        </is>
      </c>
    </row>
    <row r="13">
      <c r="A13" t="inlineStr">
        <is>
          <t>9102316525</t>
        </is>
      </c>
      <c r="B13" t="inlineStr">
        <is>
          <t>B-1214286</t>
        </is>
      </c>
      <c r="E13" t="inlineStr">
        <is>
          <t>ER-CIND-POV-MELADOR 25461-MELADOR</t>
        </is>
      </c>
      <c r="F13" t="inlineStr">
        <is>
          <t>CANARANA</t>
        </is>
      </c>
      <c r="G13" t="inlineStr">
        <is>
          <t>EM EXECUÇÃO</t>
        </is>
      </c>
      <c r="I13" t="inlineStr">
        <is>
          <t>JARBAS SOUZA AMORIM - NTS987502</t>
        </is>
      </c>
      <c r="J13" t="inlineStr">
        <is>
          <t>HIAGO DE CIRQUEIRA PEREIRA - NTS449580</t>
        </is>
      </c>
      <c r="K13" t="inlineStr">
        <is>
          <t>MANOEL MESSIAS ALENCAR - U359765</t>
        </is>
      </c>
      <c r="L13" t="inlineStr">
        <is>
          <t>PLANO 7</t>
        </is>
      </c>
      <c r="M13" t="inlineStr">
        <is>
          <t>QLP</t>
        </is>
      </c>
      <c r="N13" t="inlineStr">
        <is>
          <t>08/10/25</t>
        </is>
      </c>
      <c r="O13" t="inlineStr">
        <is>
          <t>ADICIONAR FASE CONFORME PROJETO.</t>
        </is>
      </c>
      <c r="P13" t="inlineStr">
        <is>
          <t>09/10/25</t>
        </is>
      </c>
      <c r="Q13" t="inlineStr">
        <is>
          <t>27/10/25</t>
        </is>
      </c>
      <c r="S13" t="inlineStr">
        <is>
          <t>2025-133600</t>
        </is>
      </c>
      <c r="T13" t="inlineStr">
        <is>
          <t>01/12/2025</t>
        </is>
      </c>
      <c r="U13" t="inlineStr">
        <is>
          <t>N/A</t>
        </is>
      </c>
      <c r="V13" t="inlineStr">
        <is>
          <t>2025-133606</t>
        </is>
      </c>
      <c r="W13" t="inlineStr">
        <is>
          <t>01/12/2025</t>
        </is>
      </c>
      <c r="X13" t="inlineStr">
        <is>
          <t>2025-134638</t>
        </is>
      </c>
      <c r="Y13" t="inlineStr">
        <is>
          <t>20/11/2025</t>
        </is>
      </c>
      <c r="Z13" t="inlineStr">
        <is>
          <t>ANÁLISE</t>
        </is>
      </c>
      <c r="AA13" t="inlineStr">
        <is>
          <t>1040703</t>
        </is>
      </c>
      <c r="AB13" t="inlineStr">
        <is>
          <t>E894617 AO E894631</t>
        </is>
      </c>
      <c r="AC13" t="inlineStr">
        <is>
          <t>0</t>
        </is>
      </c>
      <c r="AE13" t="inlineStr">
        <is>
          <t>15</t>
        </is>
      </c>
      <c r="AF13" t="inlineStr">
        <is>
          <t>15</t>
        </is>
      </c>
      <c r="AG13" t="inlineStr">
        <is>
          <t>15</t>
        </is>
      </c>
      <c r="AH13" t="inlineStr">
        <is>
          <t>0</t>
        </is>
      </c>
      <c r="AI13" t="inlineStr">
        <is>
          <t>100%</t>
        </is>
      </c>
      <c r="AJ13" t="inlineStr">
        <is>
          <t>100,00%</t>
        </is>
      </c>
      <c r="AK13" t="inlineStr">
        <is>
          <t>04/11/2025</t>
        </is>
      </c>
      <c r="AL13" t="inlineStr">
        <is>
          <t>11/11/2025</t>
        </is>
      </c>
      <c r="AP13" t="inlineStr">
        <is>
          <t>E765262</t>
        </is>
      </c>
      <c r="AQ13" t="inlineStr">
        <is>
          <t>-11,907336</t>
        </is>
      </c>
      <c r="AR13" t="inlineStr">
        <is>
          <t>-41,702260</t>
        </is>
      </c>
      <c r="AS13" t="inlineStr">
        <is>
          <t>R$ 151.435,44</t>
        </is>
      </c>
      <c r="AT13" t="inlineStr">
        <is>
          <t>R$ 39.925,41</t>
        </is>
      </c>
      <c r="AU13" t="inlineStr">
        <is>
          <t>2292</t>
        </is>
      </c>
      <c r="AX13" t="inlineStr">
        <is>
          <t>0,19</t>
        </is>
      </c>
      <c r="BA13" t="inlineStr">
        <is>
          <t>MGM-09Z3</t>
        </is>
      </c>
      <c r="BB13" t="inlineStr">
        <is>
          <t>E27407</t>
        </is>
      </c>
      <c r="BI13" t="inlineStr">
        <is>
          <t>E765262</t>
        </is>
      </c>
      <c r="BJ13" t="inlineStr">
        <is>
          <t>ADICIONAR 01 VÃO DE RD MT DO PG: E765262 AO E765249, INTERLIGAR FASE SENTIDO LADO CARGA E ENERGIZAR OBRA.</t>
        </is>
      </c>
      <c r="BK13" t="inlineStr">
        <is>
          <t>REVISADO APÓS ANÁLISE</t>
        </is>
      </c>
    </row>
    <row r="14">
      <c r="A14" t="inlineStr">
        <is>
          <t>9102341180</t>
        </is>
      </c>
      <c r="B14" t="inlineStr">
        <is>
          <t>B-1228719</t>
        </is>
      </c>
      <c r="C14" t="inlineStr">
        <is>
          <t>N/A</t>
        </is>
      </c>
      <c r="D14" t="inlineStr">
        <is>
          <t>N/A</t>
        </is>
      </c>
      <c r="E14" t="inlineStr">
        <is>
          <t>AC-CIND-POV-MORRINHO DE ARTURZINHO-RURAL</t>
        </is>
      </c>
      <c r="F14" t="inlineStr">
        <is>
          <t>CANARANA</t>
        </is>
      </c>
      <c r="G14" t="inlineStr">
        <is>
          <t>ENERGIZADA</t>
        </is>
      </c>
      <c r="H14" t="inlineStr">
        <is>
          <t>DIVERGENCIA DE LOCAL DO CLIENTE EM CAMPO, EMAIL ENVIADO PARA A COELBA  07/10</t>
        </is>
      </c>
      <c r="I14" t="inlineStr">
        <is>
          <t>IRISMAR MARQUES SILVA - NTS493543</t>
        </is>
      </c>
      <c r="J14" t="inlineStr">
        <is>
          <t>HIAGO DE CIRQUEIRA PEREIRA - NTS449580</t>
        </is>
      </c>
      <c r="K14" t="inlineStr">
        <is>
          <t>MANOEL MESSIAS ALENCAR - U359765</t>
        </is>
      </c>
      <c r="L14" t="inlineStr">
        <is>
          <t>PLANO 7</t>
        </is>
      </c>
      <c r="M14" t="inlineStr">
        <is>
          <t>JUDICIAL</t>
        </is>
      </c>
      <c r="N14" t="inlineStr">
        <is>
          <t>07/10/25</t>
        </is>
      </c>
      <c r="O14" t="inlineStr">
        <is>
          <t xml:space="preserve">NTERCALAR POSTE 11/600 COM TRANSFORMADOR ENTRE OS POSTES </t>
        </is>
      </c>
      <c r="P14" t="inlineStr">
        <is>
          <t>07/10/25</t>
        </is>
      </c>
      <c r="Q14" t="inlineStr">
        <is>
          <t>29/10/25</t>
        </is>
      </c>
      <c r="S14" t="inlineStr">
        <is>
          <t>2025-138009</t>
        </is>
      </c>
      <c r="T14" t="inlineStr">
        <is>
          <t>01/12/2025</t>
        </is>
      </c>
      <c r="U14" t="inlineStr">
        <is>
          <t>N/A</t>
        </is>
      </c>
      <c r="V14" t="inlineStr">
        <is>
          <t>2025-134451</t>
        </is>
      </c>
      <c r="W14" t="inlineStr">
        <is>
          <t>01/12/2025</t>
        </is>
      </c>
      <c r="X14" t="inlineStr">
        <is>
          <t>N/A</t>
        </is>
      </c>
      <c r="AC14" t="inlineStr">
        <is>
          <t>0</t>
        </is>
      </c>
      <c r="AD14" t="inlineStr">
        <is>
          <t>0</t>
        </is>
      </c>
      <c r="AE14" t="inlineStr">
        <is>
          <t>1</t>
        </is>
      </c>
      <c r="AF14" t="inlineStr">
        <is>
          <t>1</t>
        </is>
      </c>
      <c r="AG14" t="inlineStr">
        <is>
          <t>1</t>
        </is>
      </c>
      <c r="AH14" t="inlineStr">
        <is>
          <t>0</t>
        </is>
      </c>
      <c r="AI14" t="inlineStr">
        <is>
          <t>100%</t>
        </is>
      </c>
      <c r="AK14" t="inlineStr">
        <is>
          <t>03/11/2025</t>
        </is>
      </c>
      <c r="AL14" t="inlineStr">
        <is>
          <t>03/11/2025</t>
        </is>
      </c>
      <c r="AN14" t="inlineStr">
        <is>
          <t>03/11/25</t>
        </is>
      </c>
      <c r="AO14" t="inlineStr">
        <is>
          <t>2025-11-5981</t>
        </is>
      </c>
      <c r="AP14" t="inlineStr">
        <is>
          <t>D091560</t>
        </is>
      </c>
      <c r="AQ14" t="inlineStr">
        <is>
          <t>-11,788833</t>
        </is>
      </c>
      <c r="AR14" t="inlineStr">
        <is>
          <t>-41,768644</t>
        </is>
      </c>
      <c r="AS14" t="inlineStr">
        <is>
          <t>R$ 26.796,97</t>
        </is>
      </c>
      <c r="AT14" t="inlineStr">
        <is>
          <t>R$ 2.916,49</t>
        </is>
      </c>
      <c r="AU14" t="inlineStr">
        <is>
          <t>2290</t>
        </is>
      </c>
      <c r="BA14" t="inlineStr">
        <is>
          <t>MGM-09Z3</t>
        </is>
      </c>
      <c r="BB14" t="inlineStr">
        <is>
          <t>J57309</t>
        </is>
      </c>
      <c r="BI14" t="inlineStr">
        <is>
          <t xml:space="preserve">D091560 </t>
        </is>
      </c>
      <c r="BJ14" t="inlineStr">
        <is>
          <t>INTERCALAR POSTE AT COM N1 E TRAFO ENTRE OS PG: D091558 - D705712,  FECHAR CHAVE NOVA PRÓXIMO AO PG: D091558  E ENERGIZAR OBRA.</t>
        </is>
      </c>
      <c r="BK14" t="inlineStr">
        <is>
          <t>REVISADO APÓS ANÁLISE</t>
        </is>
      </c>
    </row>
    <row r="15">
      <c r="A15" t="inlineStr">
        <is>
          <t>9102349557</t>
        </is>
      </c>
      <c r="B15" t="inlineStr">
        <is>
          <t>B-1228504</t>
        </is>
      </c>
      <c r="E15" t="inlineStr">
        <is>
          <t>ER-CIND-POV-DESCOBERTO-RURAL</t>
        </is>
      </c>
      <c r="F15" t="inlineStr">
        <is>
          <t>CANARANA</t>
        </is>
      </c>
      <c r="G15" t="inlineStr">
        <is>
          <t>PROGRAMADA</t>
        </is>
      </c>
      <c r="H15" t="inlineStr">
        <is>
          <t>REDE ANTIGA NÃO CADASTRADA.
NECESSÁRIO CORREÇÃO CADASTRAL.</t>
        </is>
      </c>
      <c r="I15" t="inlineStr">
        <is>
          <t>JARBAS SOUZA AMORIM - NTS987502</t>
        </is>
      </c>
      <c r="J15" t="inlineStr">
        <is>
          <t>HIAGO DE CIRQUEIRA PEREIRA - NTS449580</t>
        </is>
      </c>
      <c r="K15" t="inlineStr">
        <is>
          <t>MANOEL MESSIAS ALENCAR - U359765</t>
        </is>
      </c>
      <c r="L15" t="inlineStr">
        <is>
          <t>PLANO 7</t>
        </is>
      </c>
      <c r="M15" t="inlineStr">
        <is>
          <t>QLP</t>
        </is>
      </c>
      <c r="N15" t="inlineStr">
        <is>
          <t>08/10/25</t>
        </is>
      </c>
      <c r="O15" t="inlineStr">
        <is>
          <t>ALTERAR ESTRUTURA MT DE M3 PRA M4 NO PG DO TRAFO H35248.</t>
        </is>
      </c>
      <c r="P15" t="inlineStr">
        <is>
          <t>28/10/25</t>
        </is>
      </c>
      <c r="Q15" t="inlineStr">
        <is>
          <t>28/10/25</t>
        </is>
      </c>
      <c r="S15" t="inlineStr">
        <is>
          <t>2025-138056</t>
        </is>
      </c>
      <c r="T15" t="inlineStr">
        <is>
          <t>01/12/2025</t>
        </is>
      </c>
      <c r="U15" t="inlineStr">
        <is>
          <t>2025-138059
2025-138061
2025-138062</t>
        </is>
      </c>
      <c r="V15" t="inlineStr">
        <is>
          <t>2025-138078</t>
        </is>
      </c>
      <c r="W15" t="inlineStr">
        <is>
          <t>01/12/2025</t>
        </is>
      </c>
      <c r="X15" t="inlineStr">
        <is>
          <t>N/A</t>
        </is>
      </c>
      <c r="AA15" t="inlineStr">
        <is>
          <t>1040719</t>
        </is>
      </c>
      <c r="AB15" t="inlineStr">
        <is>
          <t>E894858 AO E894862</t>
        </is>
      </c>
      <c r="AC15" t="inlineStr">
        <is>
          <t>1</t>
        </is>
      </c>
      <c r="AE15" t="inlineStr">
        <is>
          <t>17</t>
        </is>
      </c>
      <c r="AF15" t="inlineStr">
        <is>
          <t>13</t>
        </is>
      </c>
      <c r="AH15" t="inlineStr">
        <is>
          <t>17</t>
        </is>
      </c>
      <c r="AI15" t="inlineStr">
        <is>
          <t>0%</t>
        </is>
      </c>
      <c r="AJ15" t="inlineStr">
        <is>
          <t>100,00%</t>
        </is>
      </c>
      <c r="AK15" t="inlineStr">
        <is>
          <t>12/11/2025</t>
        </is>
      </c>
      <c r="AL15" t="inlineStr">
        <is>
          <t>14/11/2025</t>
        </is>
      </c>
      <c r="AP15" t="inlineStr">
        <is>
          <t>E600590</t>
        </is>
      </c>
      <c r="AQ15" t="inlineStr">
        <is>
          <t>-11,908580</t>
        </is>
      </c>
      <c r="AR15" t="inlineStr">
        <is>
          <t>-41,675359</t>
        </is>
      </c>
      <c r="AS15" t="inlineStr">
        <is>
          <t>R$ 28.178,89</t>
        </is>
      </c>
      <c r="AT15" t="inlineStr">
        <is>
          <t>R$ 10.222,53</t>
        </is>
      </c>
      <c r="AU15" t="inlineStr">
        <is>
          <t>2292</t>
        </is>
      </c>
      <c r="BA15" t="inlineStr">
        <is>
          <t>MGM-09Z3</t>
        </is>
      </c>
      <c r="BB15" t="inlineStr">
        <is>
          <t>H35244</t>
        </is>
      </c>
      <c r="BI15" t="inlineStr">
        <is>
          <t>E600590</t>
        </is>
      </c>
      <c r="BJ15" t="inlineStr">
        <is>
          <t>ALTERAR ESTRUTURA DE M3 P/ M4 NO PG: E904913 E ENERGIZAR OBRA.</t>
        </is>
      </c>
      <c r="BK15" t="inlineStr">
        <is>
          <t>REVISADO APÓS ANÁLISE</t>
        </is>
      </c>
    </row>
    <row r="16">
      <c r="A16" t="inlineStr">
        <is>
          <t>9102347598</t>
        </is>
      </c>
      <c r="B16" t="inlineStr">
        <is>
          <t>B-1228895</t>
        </is>
      </c>
      <c r="C16" t="inlineStr">
        <is>
          <t>N/A</t>
        </is>
      </c>
      <c r="D16" t="inlineStr">
        <is>
          <t>N/A</t>
        </is>
      </c>
      <c r="E16" t="inlineStr">
        <is>
          <t>ER-CIND-POV-LADEIRA VERMELHA-RURAL</t>
        </is>
      </c>
      <c r="F16" t="inlineStr">
        <is>
          <t>CANARANA</t>
        </is>
      </c>
      <c r="G16" t="inlineStr">
        <is>
          <t>ENERGIZADA</t>
        </is>
      </c>
      <c r="I16" t="inlineStr">
        <is>
          <t>IRISMAR MARQUES SILVA - NTS493543</t>
        </is>
      </c>
      <c r="J16" t="inlineStr">
        <is>
          <t>HIAGO DE CIRQUEIRA PEREIRA - NTS449580</t>
        </is>
      </c>
      <c r="K16" t="inlineStr">
        <is>
          <t>MANOEL MESSIAS ALENCAR - U359765</t>
        </is>
      </c>
      <c r="L16" t="inlineStr">
        <is>
          <t>PLANO 7</t>
        </is>
      </c>
      <c r="M16" t="inlineStr">
        <is>
          <t>QLP</t>
        </is>
      </c>
      <c r="N16" t="inlineStr">
        <is>
          <t>15/10/25</t>
        </is>
      </c>
      <c r="O16" t="inlineStr">
        <is>
          <t>ENCABEÇAR REDE CONFORME PROJETO</t>
        </is>
      </c>
      <c r="P16" t="inlineStr">
        <is>
          <t>17/10/25</t>
        </is>
      </c>
      <c r="Q16" t="inlineStr">
        <is>
          <t>27/10/25</t>
        </is>
      </c>
      <c r="S16" t="inlineStr">
        <is>
          <t>N/A</t>
        </is>
      </c>
      <c r="T16" t="inlineStr">
        <is>
          <t>N/A</t>
        </is>
      </c>
      <c r="U16" t="inlineStr">
        <is>
          <t>N/A</t>
        </is>
      </c>
      <c r="V16" t="inlineStr">
        <is>
          <t>2025-134426</t>
        </is>
      </c>
      <c r="W16" t="inlineStr">
        <is>
          <t>01/12/2025</t>
        </is>
      </c>
      <c r="X16" t="inlineStr">
        <is>
          <t>N/A</t>
        </is>
      </c>
      <c r="AB16" t="inlineStr">
        <is>
          <t>E877448 AO E877450</t>
        </is>
      </c>
      <c r="AC16" t="inlineStr">
        <is>
          <t>1</t>
        </is>
      </c>
      <c r="AD16" t="inlineStr">
        <is>
          <t>0</t>
        </is>
      </c>
      <c r="AE16" t="inlineStr">
        <is>
          <t>3</t>
        </is>
      </c>
      <c r="AF16" t="inlineStr">
        <is>
          <t>3</t>
        </is>
      </c>
      <c r="AG16" t="inlineStr">
        <is>
          <t>3</t>
        </is>
      </c>
      <c r="AH16" t="inlineStr">
        <is>
          <t>0</t>
        </is>
      </c>
      <c r="AI16" t="inlineStr">
        <is>
          <t>100%</t>
        </is>
      </c>
      <c r="AJ16" t="inlineStr">
        <is>
          <t>100,00%</t>
        </is>
      </c>
      <c r="AK16" t="inlineStr">
        <is>
          <t>04/11/2025</t>
        </is>
      </c>
      <c r="AL16" t="inlineStr">
        <is>
          <t>04/11/2025</t>
        </is>
      </c>
      <c r="AN16" t="inlineStr">
        <is>
          <t>04/11/25</t>
        </is>
      </c>
      <c r="AO16" t="inlineStr">
        <is>
          <t>2025-11-8382</t>
        </is>
      </c>
      <c r="AP16" t="inlineStr">
        <is>
          <t>E617528</t>
        </is>
      </c>
      <c r="AQ16" t="inlineStr">
        <is>
          <t>-11.831079</t>
        </is>
      </c>
      <c r="AR16" t="inlineStr">
        <is>
          <t>-41.74908</t>
        </is>
      </c>
      <c r="AS16" t="inlineStr">
        <is>
          <t>R$ 15.514,70</t>
        </is>
      </c>
      <c r="AT16" t="inlineStr">
        <is>
          <t>R$ 6.291,82</t>
        </is>
      </c>
      <c r="AU16" t="inlineStr">
        <is>
          <t>2290</t>
        </is>
      </c>
      <c r="BA16" t="inlineStr">
        <is>
          <t>MGM-09Z3</t>
        </is>
      </c>
      <c r="BB16" t="inlineStr">
        <is>
          <t>D06340</t>
        </is>
      </c>
      <c r="BI16" t="inlineStr">
        <is>
          <t xml:space="preserve">E617528 </t>
        </is>
      </c>
      <c r="BJ16" t="inlineStr">
        <is>
          <t>ENCABEÇAR RD BT NO PG: E617528 E ENERGIZAR OBRA.</t>
        </is>
      </c>
      <c r="BK16" t="inlineStr">
        <is>
          <t>REVISADO APÓS ANÁLISE</t>
        </is>
      </c>
    </row>
    <row r="17">
      <c r="A17" t="inlineStr">
        <is>
          <t>9102342630</t>
        </is>
      </c>
      <c r="B17" t="inlineStr">
        <is>
          <t>B-1227844</t>
        </is>
      </c>
      <c r="C17" t="inlineStr">
        <is>
          <t>N/A</t>
        </is>
      </c>
      <c r="D17" t="inlineStr">
        <is>
          <t>N/A</t>
        </is>
      </c>
      <c r="E17" t="inlineStr">
        <is>
          <t>AC-CIND-POV-PAU D ARCO 69-RURAL</t>
        </is>
      </c>
      <c r="F17" t="inlineStr">
        <is>
          <t>CENTRAL</t>
        </is>
      </c>
      <c r="G17" t="inlineStr">
        <is>
          <t>ENERGIZADA</t>
        </is>
      </c>
      <c r="I17" t="inlineStr">
        <is>
          <t>FELIPE PEREIRA ALVES - NTS633505</t>
        </is>
      </c>
      <c r="J17" t="inlineStr">
        <is>
          <t>RENATO ALVES DE OLIVEIRA GONCALVES - NTS467500</t>
        </is>
      </c>
      <c r="K17" t="inlineStr">
        <is>
          <t>JARBAS LIMA VIEIRA - U348612</t>
        </is>
      </c>
      <c r="L17" t="inlineStr">
        <is>
          <t>PLANO 7</t>
        </is>
      </c>
      <c r="M17" t="inlineStr">
        <is>
          <t>QLP</t>
        </is>
      </c>
      <c r="N17" t="inlineStr">
        <is>
          <t>14/10/25</t>
        </is>
      </c>
      <c r="O17" t="inlineStr">
        <is>
          <t>OBRA APITA PARA CONSTRUÇÃO CONFORME PROJETO</t>
        </is>
      </c>
      <c r="P17" t="inlineStr">
        <is>
          <t>15/10/25</t>
        </is>
      </c>
      <c r="Q17" t="inlineStr">
        <is>
          <t>27/10/25</t>
        </is>
      </c>
      <c r="S17" t="inlineStr">
        <is>
          <t>N/A</t>
        </is>
      </c>
      <c r="T17" t="inlineStr">
        <is>
          <t>N/A</t>
        </is>
      </c>
      <c r="U17" t="inlineStr">
        <is>
          <t>N/A</t>
        </is>
      </c>
      <c r="V17" t="inlineStr">
        <is>
          <t>2025-133381</t>
        </is>
      </c>
      <c r="W17" t="inlineStr">
        <is>
          <t>01/12/2025</t>
        </is>
      </c>
      <c r="X17" t="inlineStr">
        <is>
          <t>N/A</t>
        </is>
      </c>
      <c r="AB17" t="inlineStr">
        <is>
          <t>E786703  AO E786706</t>
        </is>
      </c>
      <c r="AC17" t="inlineStr">
        <is>
          <t>1</t>
        </is>
      </c>
      <c r="AD17" t="inlineStr">
        <is>
          <t>0</t>
        </is>
      </c>
      <c r="AE17" t="inlineStr">
        <is>
          <t>4</t>
        </is>
      </c>
      <c r="AF17" t="inlineStr">
        <is>
          <t>4</t>
        </is>
      </c>
      <c r="AG17" t="inlineStr">
        <is>
          <t>4</t>
        </is>
      </c>
      <c r="AH17" t="inlineStr">
        <is>
          <t>0</t>
        </is>
      </c>
      <c r="AI17" t="inlineStr">
        <is>
          <t>100%</t>
        </is>
      </c>
      <c r="AJ17" t="inlineStr">
        <is>
          <t>100,00%</t>
        </is>
      </c>
      <c r="AK17" t="inlineStr">
        <is>
          <t>03/11/2025</t>
        </is>
      </c>
      <c r="AL17" t="inlineStr">
        <is>
          <t>03/11/2025</t>
        </is>
      </c>
      <c r="AN17" t="inlineStr">
        <is>
          <t>03/11/25</t>
        </is>
      </c>
      <c r="AO17" t="inlineStr">
        <is>
          <t>2025-11-5570</t>
        </is>
      </c>
      <c r="AP17" t="inlineStr">
        <is>
          <t>B899194</t>
        </is>
      </c>
      <c r="AQ17" t="inlineStr">
        <is>
          <t>-11,057811</t>
        </is>
      </c>
      <c r="AR17" t="inlineStr">
        <is>
          <t>-42,155731</t>
        </is>
      </c>
      <c r="AS17" t="inlineStr">
        <is>
          <t>R$ 21.721,68</t>
        </is>
      </c>
      <c r="AT17" t="inlineStr">
        <is>
          <t>R$ 9.407,39</t>
        </is>
      </c>
      <c r="AU17" t="inlineStr">
        <is>
          <t>2289</t>
        </is>
      </c>
      <c r="AW17" t="inlineStr">
        <is>
          <t>0,22</t>
        </is>
      </c>
      <c r="BA17" t="inlineStr">
        <is>
          <t>IRC-01L8</t>
        </is>
      </c>
      <c r="BB17" t="inlineStr">
        <is>
          <t>V01170</t>
        </is>
      </c>
      <c r="BI17" t="inlineStr">
        <is>
          <t>B899194</t>
        </is>
      </c>
      <c r="BJ17" t="inlineStr">
        <is>
          <t>ENCABEÇAR RD BT NO PG: B899194 E ENERGIZAR OBRA.</t>
        </is>
      </c>
      <c r="BK17" t="inlineStr">
        <is>
          <t>REVISADO APÓS ANÁLISE</t>
        </is>
      </c>
    </row>
    <row r="18">
      <c r="A18" t="inlineStr">
        <is>
          <t>9102339703</t>
        </is>
      </c>
      <c r="B18" t="inlineStr">
        <is>
          <t>B-1228890</t>
        </is>
      </c>
      <c r="C18" t="inlineStr">
        <is>
          <t>N/A</t>
        </is>
      </c>
      <c r="D18" t="inlineStr">
        <is>
          <t>N/A</t>
        </is>
      </c>
      <c r="E18" t="inlineStr">
        <is>
          <t>ER-CIND-POV-ROCADINHO-RURAL</t>
        </is>
      </c>
      <c r="F18" t="inlineStr">
        <is>
          <t>CENTRAL</t>
        </is>
      </c>
      <c r="G18" t="inlineStr">
        <is>
          <t>ENERGIZADA</t>
        </is>
      </c>
      <c r="I18" t="inlineStr">
        <is>
          <t>FELIPE PEREIRA ALVES - NTS633505</t>
        </is>
      </c>
      <c r="J18" t="inlineStr">
        <is>
          <t>RENATO ALVES DE OLIVEIRA GONCALVES - NTS467500</t>
        </is>
      </c>
      <c r="K18" t="inlineStr">
        <is>
          <t>JARBAS LIMA VIEIRA - U348612</t>
        </is>
      </c>
      <c r="L18" t="inlineStr">
        <is>
          <t>PLANO 7</t>
        </is>
      </c>
      <c r="M18" t="inlineStr">
        <is>
          <t>QLP</t>
        </is>
      </c>
      <c r="N18" t="inlineStr">
        <is>
          <t>14/10/25</t>
        </is>
      </c>
      <c r="O18" t="inlineStr">
        <is>
          <t xml:space="preserve">OBRA APITA PARA CONSTRUÇÃO CONFORME PROJETO </t>
        </is>
      </c>
      <c r="P18" t="inlineStr">
        <is>
          <t>16/10/25</t>
        </is>
      </c>
      <c r="Q18" t="inlineStr">
        <is>
          <t>27/10</t>
        </is>
      </c>
      <c r="S18" t="inlineStr">
        <is>
          <t>N/A</t>
        </is>
      </c>
      <c r="T18" t="inlineStr">
        <is>
          <t>N/A</t>
        </is>
      </c>
      <c r="U18" t="inlineStr">
        <is>
          <t>N/A</t>
        </is>
      </c>
      <c r="V18" t="inlineStr">
        <is>
          <t>2025-133382</t>
        </is>
      </c>
      <c r="W18" t="inlineStr">
        <is>
          <t>01/12/2025</t>
        </is>
      </c>
      <c r="X18" t="inlineStr">
        <is>
          <t>N/A</t>
        </is>
      </c>
      <c r="AA18" t="inlineStr">
        <is>
          <t>1040721</t>
        </is>
      </c>
      <c r="AB18" t="inlineStr">
        <is>
          <t>E894882 AO E894887</t>
        </is>
      </c>
      <c r="AC18" t="inlineStr">
        <is>
          <t>1</t>
        </is>
      </c>
      <c r="AD18" t="inlineStr">
        <is>
          <t>0</t>
        </is>
      </c>
      <c r="AE18" t="inlineStr">
        <is>
          <t>6</t>
        </is>
      </c>
      <c r="AF18" t="inlineStr">
        <is>
          <t>6</t>
        </is>
      </c>
      <c r="AG18" t="inlineStr">
        <is>
          <t>6</t>
        </is>
      </c>
      <c r="AH18" t="inlineStr">
        <is>
          <t>0</t>
        </is>
      </c>
      <c r="AI18" t="inlineStr">
        <is>
          <t>100%</t>
        </is>
      </c>
      <c r="AJ18" t="inlineStr">
        <is>
          <t>100,00%</t>
        </is>
      </c>
      <c r="AK18" t="inlineStr">
        <is>
          <t>04/11/2025</t>
        </is>
      </c>
      <c r="AL18" t="inlineStr">
        <is>
          <t>06/11/2025</t>
        </is>
      </c>
      <c r="AN18" t="inlineStr">
        <is>
          <t>05/11/25</t>
        </is>
      </c>
      <c r="AO18" t="inlineStr">
        <is>
          <t>2025-11-11314</t>
        </is>
      </c>
      <c r="AP18" t="inlineStr">
        <is>
          <t>E645207</t>
        </is>
      </c>
      <c r="AQ18" t="inlineStr">
        <is>
          <t>-11.139252</t>
        </is>
      </c>
      <c r="AR18" t="inlineStr">
        <is>
          <t>-42.05577</t>
        </is>
      </c>
      <c r="AS18" t="inlineStr">
        <is>
          <t>R$ 32.899,21</t>
        </is>
      </c>
      <c r="AT18" t="inlineStr">
        <is>
          <t>R$ 14.591,43</t>
        </is>
      </c>
      <c r="AU18" t="inlineStr">
        <is>
          <t>2289</t>
        </is>
      </c>
      <c r="BA18" t="inlineStr">
        <is>
          <t>IRC-01L8</t>
        </is>
      </c>
      <c r="BB18" t="inlineStr">
        <is>
          <t>D04313</t>
        </is>
      </c>
      <c r="BI18" t="inlineStr">
        <is>
          <t>E645208</t>
        </is>
      </c>
      <c r="BJ18" t="inlineStr">
        <is>
          <t>ENCABEÇAR RD BT NO PG: E645208 E ENERGIZAR OBRA.</t>
        </is>
      </c>
      <c r="BK18" t="inlineStr">
        <is>
          <t>REVISADO APÓS ANÁLISE</t>
        </is>
      </c>
    </row>
    <row r="19">
      <c r="A19" t="inlineStr">
        <is>
          <t>9102352010</t>
        </is>
      </c>
      <c r="B19" t="inlineStr">
        <is>
          <t>B-1228949</t>
        </is>
      </c>
      <c r="E19" t="inlineStr">
        <is>
          <t>ER-CIND-POV-SAO JOAO-DO ZE DA PRETA</t>
        </is>
      </c>
      <c r="F19" t="inlineStr">
        <is>
          <t>CENTRAL</t>
        </is>
      </c>
      <c r="G19" t="inlineStr">
        <is>
          <t>PROGRAMADA</t>
        </is>
      </c>
      <c r="I19" t="inlineStr">
        <is>
          <t>FELIPE PEREIRA ALVES - NTS633505</t>
        </is>
      </c>
      <c r="J19" t="inlineStr">
        <is>
          <t>RENATO ALVES DE OLIVEIRA GONCALVES - NTS467500</t>
        </is>
      </c>
      <c r="K19" t="inlineStr">
        <is>
          <t>JARBAS LIMA VIEIRA - U348612</t>
        </is>
      </c>
      <c r="L19" t="inlineStr">
        <is>
          <t>PLANO 7</t>
        </is>
      </c>
      <c r="M19" t="inlineStr">
        <is>
          <t>QLP</t>
        </is>
      </c>
      <c r="N19" t="inlineStr">
        <is>
          <t>14/10/25</t>
        </is>
      </c>
      <c r="O19" t="inlineStr">
        <is>
          <t>OBRA APITA PARA CONSTRUÇÃO CONFORME PROJETO</t>
        </is>
      </c>
      <c r="P19" t="inlineStr">
        <is>
          <t>15/10/25</t>
        </is>
      </c>
      <c r="Q19" t="inlineStr">
        <is>
          <t>27/10/25</t>
        </is>
      </c>
      <c r="S19" t="inlineStr">
        <is>
          <t>2025-133344</t>
        </is>
      </c>
      <c r="T19" t="inlineStr">
        <is>
          <t>01/12/2025</t>
        </is>
      </c>
      <c r="U19" t="inlineStr">
        <is>
          <t>N/A</t>
        </is>
      </c>
      <c r="V19" t="inlineStr">
        <is>
          <t>2025-133363</t>
        </is>
      </c>
      <c r="W19" t="inlineStr">
        <is>
          <t>01/12/2025</t>
        </is>
      </c>
      <c r="X19" t="inlineStr">
        <is>
          <t>N/A</t>
        </is>
      </c>
      <c r="AA19" t="inlineStr">
        <is>
          <t>1040722</t>
        </is>
      </c>
      <c r="AB19" t="inlineStr">
        <is>
          <t>E894888 AO E894905</t>
        </is>
      </c>
      <c r="AC19" t="inlineStr">
        <is>
          <t>2</t>
        </is>
      </c>
      <c r="AE19" t="inlineStr">
        <is>
          <t>18</t>
        </is>
      </c>
      <c r="AF19" t="inlineStr">
        <is>
          <t>16</t>
        </is>
      </c>
      <c r="AG19" t="inlineStr">
        <is>
          <t>3</t>
        </is>
      </c>
      <c r="AH19" t="inlineStr">
        <is>
          <t>15</t>
        </is>
      </c>
      <c r="AI19" t="inlineStr">
        <is>
          <t>17%</t>
        </is>
      </c>
      <c r="AJ19" t="inlineStr">
        <is>
          <t>100,00%</t>
        </is>
      </c>
      <c r="AK19" t="inlineStr">
        <is>
          <t>07/11/2025</t>
        </is>
      </c>
      <c r="AL19" t="inlineStr">
        <is>
          <t>14/11/2025</t>
        </is>
      </c>
      <c r="AP19" t="inlineStr">
        <is>
          <t>E513777</t>
        </is>
      </c>
      <c r="AQ19" t="inlineStr">
        <is>
          <t>-11.079716</t>
        </is>
      </c>
      <c r="AR19" t="inlineStr">
        <is>
          <t>-42.072856</t>
        </is>
      </c>
      <c r="AS19" t="inlineStr">
        <is>
          <t>R$ 150.483,38</t>
        </is>
      </c>
      <c r="AT19" t="inlineStr">
        <is>
          <t>R$ 49.823,98</t>
        </is>
      </c>
      <c r="AU19" t="inlineStr">
        <is>
          <t>2289</t>
        </is>
      </c>
      <c r="BA19" t="inlineStr">
        <is>
          <t>IRC-01L8</t>
        </is>
      </c>
      <c r="BB19" t="inlineStr">
        <is>
          <t>V47773</t>
        </is>
      </c>
      <c r="BI19" t="inlineStr">
        <is>
          <t>E513777</t>
        </is>
      </c>
      <c r="BJ19" t="inlineStr">
        <is>
          <t>ALTERAR ESTRUTURA DE N3 P/ N4 E INSTALAR CHAVE FUSÍVEL NO PG: E513777, FECHAR CHAVE NOVA PRÓXIMO AO PG: E513777 E ENERGIZAR OBRA.</t>
        </is>
      </c>
      <c r="BK19" t="inlineStr">
        <is>
          <t>REVISADO APÓS ANÁLISE</t>
        </is>
      </c>
    </row>
    <row r="20">
      <c r="A20" t="inlineStr">
        <is>
          <t>9102095590</t>
        </is>
      </c>
      <c r="B20" t="inlineStr">
        <is>
          <t>B-1156355</t>
        </is>
      </c>
      <c r="C20" t="inlineStr">
        <is>
          <t>CRIAR</t>
        </is>
      </c>
      <c r="D20" t="inlineStr">
        <is>
          <t>B-1156352</t>
        </is>
      </c>
      <c r="E20" t="inlineStr">
        <is>
          <t>MP CIND POV DE CEDRO RURAL</t>
        </is>
      </c>
      <c r="F20" t="inlineStr">
        <is>
          <t>GENTIO DO OURO</t>
        </is>
      </c>
      <c r="G20" t="inlineStr">
        <is>
          <t>PROGRAMADA</t>
        </is>
      </c>
      <c r="I20" t="inlineStr">
        <is>
          <t>MARCOS PAULO CARDOSO - NTS647589</t>
        </is>
      </c>
      <c r="J20" t="inlineStr">
        <is>
          <t>HIAGO DE CIRQUEIRA PEREIRA - NTS449580</t>
        </is>
      </c>
      <c r="K20" t="inlineStr">
        <is>
          <t xml:space="preserve">JOSE EDUARDO - U468835 </t>
        </is>
      </c>
      <c r="L20" t="inlineStr">
        <is>
          <t>PLANO 14</t>
        </is>
      </c>
      <c r="M20" t="inlineStr">
        <is>
          <t>QLP</t>
        </is>
      </c>
      <c r="N20" t="inlineStr">
        <is>
          <t>20/10/25</t>
        </is>
      </c>
      <c r="O20" t="inlineStr">
        <is>
          <t>OBRA APITAR PARA CONSTRUÇÃO CONFORME PROJETO.</t>
        </is>
      </c>
      <c r="P20" t="inlineStr">
        <is>
          <t>21/10/25</t>
        </is>
      </c>
      <c r="Q20" t="inlineStr">
        <is>
          <t>27/10/25</t>
        </is>
      </c>
      <c r="S20" t="inlineStr">
        <is>
          <t>2025-133008</t>
        </is>
      </c>
      <c r="T20" t="inlineStr">
        <is>
          <t>01/12/2025</t>
        </is>
      </c>
      <c r="U20" t="inlineStr">
        <is>
          <t>N/A</t>
        </is>
      </c>
      <c r="V20" t="inlineStr">
        <is>
          <t>2025-133097</t>
        </is>
      </c>
      <c r="W20" t="inlineStr">
        <is>
          <t>01/12/2025</t>
        </is>
      </c>
      <c r="X20" t="inlineStr">
        <is>
          <t>2025-133206</t>
        </is>
      </c>
      <c r="Y20" t="inlineStr">
        <is>
          <t>12/11/2025</t>
        </is>
      </c>
      <c r="Z20" t="inlineStr">
        <is>
          <t>APROVADA</t>
        </is>
      </c>
      <c r="AA20" t="inlineStr">
        <is>
          <t>1040681</t>
        </is>
      </c>
      <c r="AB20" t="inlineStr">
        <is>
          <t>E894442 AO E894456</t>
        </is>
      </c>
      <c r="AC20" t="inlineStr">
        <is>
          <t>1</t>
        </is>
      </c>
      <c r="AD20" t="inlineStr">
        <is>
          <t>1</t>
        </is>
      </c>
      <c r="AE20" t="inlineStr">
        <is>
          <t>15</t>
        </is>
      </c>
      <c r="AF20" t="inlineStr">
        <is>
          <t>15</t>
        </is>
      </c>
      <c r="AG20" t="inlineStr">
        <is>
          <t>4</t>
        </is>
      </c>
      <c r="AH20" t="inlineStr">
        <is>
          <t>11</t>
        </is>
      </c>
      <c r="AI20" t="inlineStr">
        <is>
          <t>27%</t>
        </is>
      </c>
      <c r="AJ20" t="inlineStr">
        <is>
          <t>100,00%</t>
        </is>
      </c>
      <c r="AK20" t="inlineStr">
        <is>
          <t>03/11/2025</t>
        </is>
      </c>
      <c r="AL20" t="inlineStr">
        <is>
          <t>10/11/2025</t>
        </is>
      </c>
      <c r="AP20" t="inlineStr">
        <is>
          <t>L359620</t>
        </is>
      </c>
      <c r="AQ20" t="inlineStr">
        <is>
          <t>-11,630717</t>
        </is>
      </c>
      <c r="AR20" t="inlineStr">
        <is>
          <t>-42,612684</t>
        </is>
      </c>
      <c r="AS20" t="inlineStr">
        <is>
          <t>R$ 113.856,05</t>
        </is>
      </c>
      <c r="AT20" t="inlineStr">
        <is>
          <t>R$ 35.032,53</t>
        </is>
      </c>
      <c r="AU20" t="inlineStr">
        <is>
          <t>2336</t>
        </is>
      </c>
      <c r="BA20" t="inlineStr">
        <is>
          <t>XIQ-09V2</t>
        </is>
      </c>
      <c r="BB20" t="inlineStr">
        <is>
          <t>T15808</t>
        </is>
      </c>
      <c r="BI20" t="inlineStr">
        <is>
          <t>L359620</t>
        </is>
      </c>
      <c r="BJ20" t="inlineStr">
        <is>
          <t>ALTERAR ESTRUTURA DE N3-3 P/ N4-3 NO PG: L359620, FECHAR CHAVE NOVA PRÓXIMO AO PG: L359622 E ENERGIZAR OBRA.</t>
        </is>
      </c>
      <c r="BK20" t="inlineStr">
        <is>
          <t>REVISADO APÓS ANÁLISE</t>
        </is>
      </c>
    </row>
    <row r="21">
      <c r="A21" t="inlineStr">
        <is>
          <t>9102349571</t>
        </is>
      </c>
      <c r="B21" t="inlineStr">
        <is>
          <t>B-1228814</t>
        </is>
      </c>
      <c r="C21" t="inlineStr">
        <is>
          <t>N/A</t>
        </is>
      </c>
      <c r="D21" t="inlineStr">
        <is>
          <t>N/A</t>
        </is>
      </c>
      <c r="E21" t="inlineStr">
        <is>
          <t>AC-CIND-POV-VELAME-RURAL</t>
        </is>
      </c>
      <c r="F21" t="inlineStr">
        <is>
          <t>IBIPEBA</t>
        </is>
      </c>
      <c r="G21" t="inlineStr">
        <is>
          <t>PROGRAMADA</t>
        </is>
      </c>
      <c r="I21" t="inlineStr">
        <is>
          <t>MARCOS PAULO CARDOSO - NTS647589</t>
        </is>
      </c>
      <c r="J21" t="inlineStr">
        <is>
          <t>HIAGO DE CIRQUEIRA PEREIRA - NTS449580</t>
        </is>
      </c>
      <c r="K21" t="inlineStr">
        <is>
          <t>ALINE LIMA SILVA - U468383</t>
        </is>
      </c>
      <c r="L21" t="inlineStr">
        <is>
          <t>PLANO 7</t>
        </is>
      </c>
      <c r="M21" t="inlineStr">
        <is>
          <t>QLP</t>
        </is>
      </c>
      <c r="N21" t="inlineStr">
        <is>
          <t>23/10/25</t>
        </is>
      </c>
      <c r="O21" t="inlineStr">
        <is>
          <t>OBRA APITAR PARA CONSTRUÇÃO CONFORME PROJETO.</t>
        </is>
      </c>
      <c r="P21" t="inlineStr">
        <is>
          <t>24/10/25</t>
        </is>
      </c>
      <c r="Q21" t="inlineStr">
        <is>
          <t>27/10</t>
        </is>
      </c>
      <c r="S21" t="inlineStr">
        <is>
          <t>N/A</t>
        </is>
      </c>
      <c r="T21" t="inlineStr">
        <is>
          <t>N/A</t>
        </is>
      </c>
      <c r="U21" t="inlineStr">
        <is>
          <t>N/A</t>
        </is>
      </c>
      <c r="V21" t="inlineStr">
        <is>
          <t>2025-133220</t>
        </is>
      </c>
      <c r="W21" t="inlineStr">
        <is>
          <t>14/11/2025</t>
        </is>
      </c>
      <c r="X21" t="inlineStr">
        <is>
          <t>2025-133220</t>
        </is>
      </c>
      <c r="Y21" t="inlineStr">
        <is>
          <t>14/11/2025</t>
        </is>
      </c>
      <c r="Z21" t="inlineStr">
        <is>
          <t>APROVADA</t>
        </is>
      </c>
      <c r="AC21" t="inlineStr">
        <is>
          <t>0</t>
        </is>
      </c>
      <c r="AD21" t="inlineStr">
        <is>
          <t>0</t>
        </is>
      </c>
      <c r="AE21" t="inlineStr">
        <is>
          <t>0</t>
        </is>
      </c>
      <c r="AH21" t="inlineStr">
        <is>
          <t>0</t>
        </is>
      </c>
      <c r="AI21" t="inlineStr">
        <is>
          <t>0%</t>
        </is>
      </c>
      <c r="AJ21" t="inlineStr">
        <is>
          <t>100,00%</t>
        </is>
      </c>
      <c r="AK21" t="inlineStr">
        <is>
          <t>14/11/2025</t>
        </is>
      </c>
      <c r="AL21" t="inlineStr">
        <is>
          <t>14/11/2025</t>
        </is>
      </c>
      <c r="AP21" t="inlineStr">
        <is>
          <t>E738697</t>
        </is>
      </c>
      <c r="AQ21" t="inlineStr">
        <is>
          <t>-11.449132</t>
        </is>
      </c>
      <c r="AR21" t="inlineStr">
        <is>
          <t>-42.262552</t>
        </is>
      </c>
      <c r="AS21" t="inlineStr">
        <is>
          <t>R$ 32.909,62</t>
        </is>
      </c>
      <c r="AT21" t="inlineStr">
        <is>
          <t>R$ 6.229,02</t>
        </is>
      </c>
      <c r="AU21" t="inlineStr">
        <is>
          <t>2336</t>
        </is>
      </c>
      <c r="BA21" t="inlineStr">
        <is>
          <t>MRR-01X3</t>
        </is>
      </c>
      <c r="BB21" t="inlineStr">
        <is>
          <t>N86510</t>
        </is>
      </c>
      <c r="BI21" t="inlineStr">
        <is>
          <t>E738697</t>
        </is>
      </c>
      <c r="BJ21" t="inlineStr">
        <is>
          <t>ABRIR CHAVE N86510 PARA SUBSTITUIR TRAFO E22164 POR TRAFO DE 30KVA, RECONDUTORAMENTO BT DO PG: E738697 AO E738702 E ENERGIZAR OBRA.</t>
        </is>
      </c>
      <c r="BK21" t="inlineStr">
        <is>
          <t>REVISADO APÓS ANÁLISE</t>
        </is>
      </c>
    </row>
    <row r="22">
      <c r="A22" t="inlineStr">
        <is>
          <t>9102345601</t>
        </is>
      </c>
      <c r="B22" t="inlineStr">
        <is>
          <t>B-1228709</t>
        </is>
      </c>
      <c r="C22" t="inlineStr">
        <is>
          <t>CRIAR</t>
        </is>
      </c>
      <c r="D22" t="inlineStr">
        <is>
          <t>CRIAR</t>
        </is>
      </c>
      <c r="E22" t="inlineStr">
        <is>
          <t>ER-CIND-POV-LAGOA DO ESTEVAO-RURAL</t>
        </is>
      </c>
      <c r="F22" t="inlineStr">
        <is>
          <t>IBITITÁ</t>
        </is>
      </c>
      <c r="G22" t="inlineStr">
        <is>
          <t>ENERGIZADA</t>
        </is>
      </c>
      <c r="I22" t="inlineStr">
        <is>
          <t>EDMILSON RIBEIRO DO NASCIMENTO - NTS354575</t>
        </is>
      </c>
      <c r="J22" t="inlineStr">
        <is>
          <t>HIAGO DE CIRQUEIRA PEREIRA - NTS449580</t>
        </is>
      </c>
      <c r="K22" t="inlineStr">
        <is>
          <t>ALINE LIMA SILVA - U468383</t>
        </is>
      </c>
      <c r="L22" t="inlineStr">
        <is>
          <t>PLANO 7 ALTERAR P/ 14</t>
        </is>
      </c>
      <c r="M22" t="inlineStr">
        <is>
          <t>QLP</t>
        </is>
      </c>
      <c r="N22" t="inlineStr">
        <is>
          <t>08/10/25</t>
        </is>
      </c>
      <c r="O22" t="inlineStr">
        <is>
          <t>OBRA APITA PARA CONSTRUÇÃO.CONFOME PROJETO _x000D_
ENCABEÇAR DE REDE  BT_x000D_</t>
        </is>
      </c>
      <c r="P22" t="inlineStr">
        <is>
          <t>09/10/25</t>
        </is>
      </c>
      <c r="Q22" t="inlineStr">
        <is>
          <t>27/10</t>
        </is>
      </c>
      <c r="S22" t="inlineStr">
        <is>
          <t>N/A</t>
        </is>
      </c>
      <c r="T22" t="inlineStr">
        <is>
          <t>N/A</t>
        </is>
      </c>
      <c r="U22" t="inlineStr">
        <is>
          <t>N/A</t>
        </is>
      </c>
      <c r="V22" t="inlineStr">
        <is>
          <t>2025-133101</t>
        </is>
      </c>
      <c r="W22" t="inlineStr">
        <is>
          <t>01/12/2025</t>
        </is>
      </c>
      <c r="X22" t="inlineStr">
        <is>
          <t>N/A</t>
        </is>
      </c>
      <c r="AB22" t="inlineStr">
        <is>
          <t>E877440 AO E877443</t>
        </is>
      </c>
      <c r="AC22" t="inlineStr">
        <is>
          <t>1</t>
        </is>
      </c>
      <c r="AD22" t="inlineStr">
        <is>
          <t>1</t>
        </is>
      </c>
      <c r="AE22" t="inlineStr">
        <is>
          <t>4</t>
        </is>
      </c>
      <c r="AF22" t="inlineStr">
        <is>
          <t>4</t>
        </is>
      </c>
      <c r="AG22" t="inlineStr">
        <is>
          <t>4</t>
        </is>
      </c>
      <c r="AH22" t="inlineStr">
        <is>
          <t>0</t>
        </is>
      </c>
      <c r="AI22" t="inlineStr">
        <is>
          <t>100%</t>
        </is>
      </c>
      <c r="AJ22" t="inlineStr">
        <is>
          <t>100,00%</t>
        </is>
      </c>
      <c r="AK22" t="inlineStr">
        <is>
          <t>03/11/2025</t>
        </is>
      </c>
      <c r="AL22" t="inlineStr">
        <is>
          <t>03/11/2025</t>
        </is>
      </c>
      <c r="AN22" t="inlineStr">
        <is>
          <t>03/11/25</t>
        </is>
      </c>
      <c r="AO22" t="inlineStr">
        <is>
          <t>2025-11-6115</t>
        </is>
      </c>
      <c r="AP22" t="inlineStr">
        <is>
          <t>E312114</t>
        </is>
      </c>
      <c r="AQ22" t="inlineStr">
        <is>
          <t>-11,595705</t>
        </is>
      </c>
      <c r="AR22" t="inlineStr">
        <is>
          <t>-41,855320</t>
        </is>
      </c>
      <c r="AS22" t="inlineStr">
        <is>
          <t>R$ 20.710,78</t>
        </is>
      </c>
      <c r="AT22" t="inlineStr">
        <is>
          <t>R$ 8.487,70</t>
        </is>
      </c>
      <c r="AU22" t="inlineStr">
        <is>
          <t>2298</t>
        </is>
      </c>
      <c r="BA22" t="inlineStr">
        <is>
          <t>IBB-01Y4</t>
        </is>
      </c>
      <c r="BB22" t="inlineStr">
        <is>
          <t>V22204</t>
        </is>
      </c>
      <c r="BI22" t="inlineStr">
        <is>
          <t>E312114</t>
        </is>
      </c>
      <c r="BJ22" t="inlineStr">
        <is>
          <t>ENCABEÇAR RD BT NO PG: E312114 E ENERGIZAR OBRA.</t>
        </is>
      </c>
      <c r="BK22" t="inlineStr">
        <is>
          <t>REVISADO APÓS ANÁLISE</t>
        </is>
      </c>
    </row>
    <row r="23">
      <c r="A23" t="inlineStr">
        <is>
          <t>9102347075</t>
        </is>
      </c>
      <c r="B23" t="inlineStr">
        <is>
          <t>B-1228616</t>
        </is>
      </c>
      <c r="E23" t="inlineStr">
        <is>
          <t>ER-CIND-POV-LICURI DO MULATINHO-RURAL</t>
        </is>
      </c>
      <c r="F23" t="inlineStr">
        <is>
          <t>IBITITÁ</t>
        </is>
      </c>
      <c r="G23" t="inlineStr">
        <is>
          <t>PROGRAMADA</t>
        </is>
      </c>
      <c r="H23" t="inlineStr">
        <is>
          <t>CADASTRAR CHAVE NO GSE PARA PROGRAMAR DESLIGAMENTO.</t>
        </is>
      </c>
      <c r="I23" t="inlineStr">
        <is>
          <t>IRISMAR MARQUES SILVA - NTS493543</t>
        </is>
      </c>
      <c r="J23" t="inlineStr">
        <is>
          <t>HIAGO DE CIRQUEIRA PEREIRA - NTS449580</t>
        </is>
      </c>
      <c r="K23" t="inlineStr">
        <is>
          <t>ALINE LIMA SILVA - U468383</t>
        </is>
      </c>
      <c r="L23" t="inlineStr">
        <is>
          <t>PLANO 7</t>
        </is>
      </c>
      <c r="M23" t="inlineStr">
        <is>
          <t>QLP</t>
        </is>
      </c>
      <c r="N23" t="inlineStr">
        <is>
          <t>16/10/25</t>
        </is>
      </c>
      <c r="O23" t="inlineStr">
        <is>
          <t>OBRA APITAR PARA CONSTRUÇÃO CONFORME PROJETO.
8VÃO DE ADF, DE N3 PARA N4. INSTALA UM GLV,</t>
        </is>
      </c>
      <c r="P23" t="inlineStr">
        <is>
          <t>20/10/25</t>
        </is>
      </c>
      <c r="Q23" t="inlineStr">
        <is>
          <t>27/10/25</t>
        </is>
      </c>
      <c r="S23" t="inlineStr">
        <is>
          <t>2025-134796</t>
        </is>
      </c>
      <c r="T23" t="inlineStr">
        <is>
          <t>01/12/2025</t>
        </is>
      </c>
      <c r="U23" t="inlineStr">
        <is>
          <t>N/A</t>
        </is>
      </c>
      <c r="V23" t="inlineStr">
        <is>
          <t>2025-134452</t>
        </is>
      </c>
      <c r="W23" t="inlineStr">
        <is>
          <t>01/12/2025</t>
        </is>
      </c>
      <c r="X23" t="inlineStr">
        <is>
          <t>2025-134658</t>
        </is>
      </c>
      <c r="Y23" t="inlineStr">
        <is>
          <t>28/11/2025</t>
        </is>
      </c>
      <c r="Z23" t="inlineStr">
        <is>
          <t>APROVADA</t>
        </is>
      </c>
      <c r="AA23" t="inlineStr">
        <is>
          <t>1040720</t>
        </is>
      </c>
      <c r="AB23" t="inlineStr">
        <is>
          <t>E894863 AO E894871</t>
        </is>
      </c>
      <c r="AC23" t="inlineStr">
        <is>
          <t>1</t>
        </is>
      </c>
      <c r="AE23" t="inlineStr">
        <is>
          <t>19</t>
        </is>
      </c>
      <c r="AH23" t="inlineStr">
        <is>
          <t>19</t>
        </is>
      </c>
      <c r="AI23" t="inlineStr">
        <is>
          <t>0%</t>
        </is>
      </c>
      <c r="AJ23" t="inlineStr">
        <is>
          <t>100,00%</t>
        </is>
      </c>
      <c r="AK23" t="inlineStr">
        <is>
          <t>19/11/2025</t>
        </is>
      </c>
      <c r="AL23" t="inlineStr">
        <is>
          <t>28/11/2025</t>
        </is>
      </c>
      <c r="AP23" t="inlineStr">
        <is>
          <t>Q132243</t>
        </is>
      </c>
      <c r="AQ23" t="inlineStr">
        <is>
          <t>-11,602628</t>
        </is>
      </c>
      <c r="AR23" t="inlineStr">
        <is>
          <t>-41,809423</t>
        </is>
      </c>
      <c r="AS23" t="inlineStr">
        <is>
          <t>R$ 149.378,63</t>
        </is>
      </c>
      <c r="AT23" t="inlineStr">
        <is>
          <t>R$ 44.660,52</t>
        </is>
      </c>
      <c r="AU23" t="inlineStr">
        <is>
          <t>2290</t>
        </is>
      </c>
      <c r="BA23" t="inlineStr">
        <is>
          <t>IBB-01Y6</t>
        </is>
      </c>
      <c r="BB23" t="inlineStr">
        <is>
          <t>J18409</t>
        </is>
      </c>
      <c r="BI23" t="inlineStr">
        <is>
          <t>Q132243</t>
        </is>
      </c>
      <c r="BK23" t="inlineStr">
        <is>
          <t>REVISADO APÓS ANÁLISE</t>
        </is>
      </c>
    </row>
    <row r="24">
      <c r="A24" t="inlineStr">
        <is>
          <t>9102299522</t>
        </is>
      </c>
      <c r="B24" t="inlineStr">
        <is>
          <t>B-1230299</t>
        </is>
      </c>
      <c r="E24" t="inlineStr">
        <is>
          <t>ER-CIND-POV-LAGEDAO-RURAL</t>
        </is>
      </c>
      <c r="F24" t="inlineStr">
        <is>
          <t>IBITITÁ</t>
        </is>
      </c>
      <c r="G24" t="inlineStr">
        <is>
          <t>EM EXECUÇÃO</t>
        </is>
      </c>
      <c r="I24" t="inlineStr">
        <is>
          <t>EDMILSON RIBEIRO DO NASCIMENTO - NTS354575</t>
        </is>
      </c>
      <c r="J24" t="inlineStr">
        <is>
          <t>HIAGO DE CIRQUEIRA PEREIRA - NTS449580</t>
        </is>
      </c>
      <c r="K24" t="inlineStr">
        <is>
          <t>ALINE LIMA SILVA - U468383</t>
        </is>
      </c>
      <c r="L24" t="inlineStr">
        <is>
          <t>PLANO 7</t>
        </is>
      </c>
      <c r="M24" t="inlineStr">
        <is>
          <t>QLP</t>
        </is>
      </c>
      <c r="N24" t="inlineStr">
        <is>
          <t>17/10/25</t>
        </is>
      </c>
      <c r="O24" t="inlineStr">
        <is>
          <t>OBRA APITAR PARA CONSTRUÇÃO CONFORME PROJETO.</t>
        </is>
      </c>
      <c r="P24" t="inlineStr">
        <is>
          <t>20/10/25</t>
        </is>
      </c>
      <c r="Q24" t="inlineStr">
        <is>
          <t>27/10</t>
        </is>
      </c>
      <c r="S24" t="inlineStr">
        <is>
          <t>C/ DP</t>
        </is>
      </c>
      <c r="T24" t="inlineStr">
        <is>
          <t>N/A</t>
        </is>
      </c>
      <c r="U24" t="inlineStr">
        <is>
          <t>N/A</t>
        </is>
      </c>
      <c r="V24" t="inlineStr">
        <is>
          <t>2025-133114</t>
        </is>
      </c>
      <c r="W24" t="inlineStr">
        <is>
          <t>01/12/2025</t>
        </is>
      </c>
      <c r="X24" t="inlineStr">
        <is>
          <t>2025-133221</t>
        </is>
      </c>
      <c r="Y24" t="inlineStr">
        <is>
          <t>14/11/2025</t>
        </is>
      </c>
      <c r="Z24" t="inlineStr">
        <is>
          <t>APROVADA</t>
        </is>
      </c>
      <c r="AA24" t="inlineStr">
        <is>
          <t>1040726</t>
        </is>
      </c>
      <c r="AB24" t="inlineStr">
        <is>
          <t>E894929 AO E894969</t>
        </is>
      </c>
      <c r="AC24" t="inlineStr">
        <is>
          <t>2</t>
        </is>
      </c>
      <c r="AE24" t="inlineStr">
        <is>
          <t>41</t>
        </is>
      </c>
      <c r="AF24" t="inlineStr">
        <is>
          <t>41</t>
        </is>
      </c>
      <c r="AG24" t="inlineStr">
        <is>
          <t>19</t>
        </is>
      </c>
      <c r="AH24" t="inlineStr">
        <is>
          <t>22</t>
        </is>
      </c>
      <c r="AI24" t="inlineStr">
        <is>
          <t>46%</t>
        </is>
      </c>
      <c r="AJ24" t="inlineStr">
        <is>
          <t>100,00%</t>
        </is>
      </c>
      <c r="AK24" t="inlineStr">
        <is>
          <t>04/11/2025</t>
        </is>
      </c>
      <c r="AL24" t="inlineStr">
        <is>
          <t>30/11/2025</t>
        </is>
      </c>
      <c r="AP24" t="inlineStr">
        <is>
          <t>E811322</t>
        </is>
      </c>
      <c r="AQ24" t="inlineStr">
        <is>
          <t>-11.542334</t>
        </is>
      </c>
      <c r="AR24" t="inlineStr">
        <is>
          <t>-41.883423</t>
        </is>
      </c>
      <c r="AS24" t="inlineStr">
        <is>
          <t>R$ 283.069,63</t>
        </is>
      </c>
      <c r="AT24" t="inlineStr">
        <is>
          <t>R$ 85.684,83</t>
        </is>
      </c>
      <c r="AU24" t="inlineStr">
        <is>
          <t>2298</t>
        </is>
      </c>
      <c r="BA24" t="inlineStr">
        <is>
          <t>IBB-01Y4</t>
        </is>
      </c>
      <c r="BB24" t="inlineStr">
        <is>
          <t>E24944</t>
        </is>
      </c>
      <c r="BI24" t="inlineStr">
        <is>
          <t>E811323</t>
        </is>
      </c>
      <c r="BJ24" t="inlineStr">
        <is>
          <t>ABRIR CHAVE: E24944 PARA ROTACIONAR POSTE E811323, ALTERAR ESTRUTURA DE N3 P/ N4 E ENERGIZAR OBRA.</t>
        </is>
      </c>
      <c r="BK24" t="inlineStr">
        <is>
          <t>REVISADO APÓS ANÁLISE</t>
        </is>
      </c>
    </row>
    <row r="25">
      <c r="A25" t="inlineStr">
        <is>
          <t>9101280145</t>
        </is>
      </c>
      <c r="B25" t="inlineStr">
        <is>
          <t>B-0912481</t>
        </is>
      </c>
      <c r="C25" t="inlineStr">
        <is>
          <t>N/A</t>
        </is>
      </c>
      <c r="D25" t="inlineStr">
        <is>
          <t>N/A</t>
        </is>
      </c>
      <c r="E25" t="inlineStr">
        <is>
          <t>ME-INTERLIG-IAS-01M3-IRC-01L3</t>
        </is>
      </c>
      <c r="F25" t="inlineStr">
        <is>
          <t>IRECÊ</t>
        </is>
      </c>
      <c r="G25" t="inlineStr">
        <is>
          <t>CANCELADA</t>
        </is>
      </c>
      <c r="H25" t="inlineStr">
        <is>
          <t>OBRA JA CONSTRUIDA POR OUTRA EPS</t>
        </is>
      </c>
      <c r="J25" t="inlineStr">
        <is>
          <t>#N/A</t>
        </is>
      </c>
      <c r="L25" t="inlineStr">
        <is>
          <t>PLANO 8</t>
        </is>
      </c>
      <c r="M25" t="inlineStr">
        <is>
          <t>AL/MELHORAMENTO</t>
        </is>
      </c>
      <c r="N25" t="inlineStr">
        <is>
          <t>08/10/25</t>
        </is>
      </c>
      <c r="O25" t="inlineStr">
        <is>
          <t>OBRA JA CONSTRUIDA POR OUTRA EPS</t>
        </is>
      </c>
      <c r="AC25" t="inlineStr">
        <is>
          <t>0</t>
        </is>
      </c>
      <c r="AD25" t="inlineStr">
        <is>
          <t>0</t>
        </is>
      </c>
      <c r="AE25" t="inlineStr">
        <is>
          <t>56</t>
        </is>
      </c>
      <c r="AH25" t="inlineStr">
        <is>
          <t>0</t>
        </is>
      </c>
      <c r="AI25" t="inlineStr">
        <is>
          <t>0%</t>
        </is>
      </c>
      <c r="AP25" t="inlineStr">
        <is>
          <t>Q113834</t>
        </is>
      </c>
      <c r="AQ25" t="inlineStr">
        <is>
          <t>-11,301559</t>
        </is>
      </c>
      <c r="AR25" t="inlineStr">
        <is>
          <t>-41,872211</t>
        </is>
      </c>
      <c r="AS25" t="inlineStr">
        <is>
          <t>R$ 546.724,15</t>
        </is>
      </c>
      <c r="AT25" t="inlineStr">
        <is>
          <t>R$ 198.189,44</t>
        </is>
      </c>
      <c r="AU25" t="inlineStr">
        <is>
          <t>#N/A</t>
        </is>
      </c>
      <c r="BK25" t="inlineStr">
        <is>
          <t>.</t>
        </is>
      </c>
    </row>
    <row r="26">
      <c r="A26" t="inlineStr">
        <is>
          <t>9101954542</t>
        </is>
      </c>
      <c r="B26" t="inlineStr">
        <is>
          <t>B-1100725</t>
        </is>
      </c>
      <c r="C26" t="inlineStr">
        <is>
          <t>N/A</t>
        </is>
      </c>
      <c r="D26" t="inlineStr">
        <is>
          <t>N/A</t>
        </is>
      </c>
      <c r="E26" t="inlineStr">
        <is>
          <t>IS-COEL-RUA-SANTAREM-BAIXAO DE SINESIA</t>
        </is>
      </c>
      <c r="F26" t="inlineStr">
        <is>
          <t>IRECÊ</t>
        </is>
      </c>
      <c r="G26" t="inlineStr">
        <is>
          <t>RETIRADA DA CARTEIRA</t>
        </is>
      </c>
      <c r="H26" t="inlineStr">
        <is>
          <t>RETIRADA DA CARTEIRA EM REUNIÃO PRESENCIAL COM BRUNA
NECESSARIO INSTALAR CHAVE PROVISÓRIA PARA MANOBRA DEVIDO CHI ELEVADO.
REALIZAR MANOBRA POIS SE TRATA DO INICIO DE  UM ALIMENTADOR.</t>
        </is>
      </c>
      <c r="J26" t="inlineStr">
        <is>
          <t>#N/A</t>
        </is>
      </c>
      <c r="L26" t="inlineStr">
        <is>
          <t>PLANO 8</t>
        </is>
      </c>
      <c r="M26" t="inlineStr">
        <is>
          <t>INTERV SEGURANÇA</t>
        </is>
      </c>
      <c r="N26" t="inlineStr">
        <is>
          <t>08/10/25</t>
        </is>
      </c>
      <c r="O26" t="inlineStr">
        <is>
          <t xml:space="preserve">REALIZAR SUBSTITUIÇÃO DO POSTE Q181861. NO POSTE EXISTENTENTE UMA CHAVE E 06 GLV. VERIFICAR MELHOR FORMA DE FAZER O DESLIGAMENTO. </t>
        </is>
      </c>
      <c r="U26" t="inlineStr">
        <is>
          <t>N/A</t>
        </is>
      </c>
      <c r="AC26" t="inlineStr">
        <is>
          <t>0</t>
        </is>
      </c>
      <c r="AD26" t="inlineStr">
        <is>
          <t>0</t>
        </is>
      </c>
      <c r="AE26" t="inlineStr">
        <is>
          <t>47</t>
        </is>
      </c>
      <c r="AH26" t="inlineStr">
        <is>
          <t>0</t>
        </is>
      </c>
      <c r="AI26" t="inlineStr">
        <is>
          <t>0%</t>
        </is>
      </c>
      <c r="AP26" t="inlineStr">
        <is>
          <t>Q181861</t>
        </is>
      </c>
      <c r="AQ26" t="inlineStr">
        <is>
          <t>-11,309433</t>
        </is>
      </c>
      <c r="AR26" t="inlineStr">
        <is>
          <t>-41,828778</t>
        </is>
      </c>
      <c r="AU26" t="inlineStr">
        <is>
          <t>#N/A</t>
        </is>
      </c>
      <c r="BA26" t="inlineStr">
        <is>
          <t>IRC-01L9</t>
        </is>
      </c>
      <c r="BB26" t="inlineStr">
        <is>
          <t>J12831</t>
        </is>
      </c>
      <c r="BI26" t="inlineStr">
        <is>
          <t>Q181861</t>
        </is>
      </c>
      <c r="BK26" t="inlineStr">
        <is>
          <t>.</t>
        </is>
      </c>
    </row>
    <row r="27">
      <c r="A27" t="inlineStr">
        <is>
          <t>9102164858</t>
        </is>
      </c>
      <c r="B27" t="inlineStr">
        <is>
          <t>B-1185230</t>
        </is>
      </c>
      <c r="C27" t="inlineStr">
        <is>
          <t>N/A</t>
        </is>
      </c>
      <c r="D27" t="inlineStr">
        <is>
          <t>N/A</t>
        </is>
      </c>
      <c r="E27" t="inlineStr">
        <is>
          <t>AC CIND REG. FV POV-PLACAS DE S DOMINGOS</t>
        </is>
      </c>
      <c r="F27" t="inlineStr">
        <is>
          <t>ITAGUAÇU DA BAHIA</t>
        </is>
      </c>
      <c r="G27" t="inlineStr">
        <is>
          <t>RETIRADA DA CARTEIRA</t>
        </is>
      </c>
      <c r="H27" t="inlineStr">
        <is>
          <t>AGUARDANDO DEFINIÇÃO DA COELBA SE IREMOS CONTRUIR TRECHO DA DERIVAÇÃO</t>
        </is>
      </c>
      <c r="I27" t="inlineStr">
        <is>
          <t>ESMERALDO DOS SANTOS OLIVEIRA - NTS551535</t>
        </is>
      </c>
      <c r="J27" t="inlineStr">
        <is>
          <t>RENATO ALVES DE OLIVEIRA GONCALVES - NTS467500</t>
        </is>
      </c>
      <c r="K27" t="inlineStr">
        <is>
          <t>JARBAS LIMA VIEIRA - U348612</t>
        </is>
      </c>
      <c r="L27" t="inlineStr">
        <is>
          <t>PLANO 7</t>
        </is>
      </c>
      <c r="M27" t="inlineStr">
        <is>
          <t>QLP</t>
        </is>
      </c>
      <c r="N27" t="inlineStr">
        <is>
          <t>24/10/25</t>
        </is>
      </c>
      <c r="O27" t="inlineStr">
        <is>
          <t xml:space="preserve">A OBRA PELA QUAL DEPENDIAMOS PARA EXECUTAR A MESMA AINDA NAO FOI EXECUTADA. </t>
        </is>
      </c>
      <c r="S27" t="inlineStr">
        <is>
          <t>VISITAR</t>
        </is>
      </c>
      <c r="U27" t="inlineStr">
        <is>
          <t>N/A</t>
        </is>
      </c>
      <c r="V27" t="inlineStr">
        <is>
          <t>VISITAR</t>
        </is>
      </c>
      <c r="AA27" t="inlineStr">
        <is>
          <t>1040684</t>
        </is>
      </c>
      <c r="AB27" t="inlineStr">
        <is>
          <t>E894457 AO E894462</t>
        </is>
      </c>
      <c r="AC27" t="inlineStr">
        <is>
          <t>1</t>
        </is>
      </c>
      <c r="AD27" t="inlineStr">
        <is>
          <t>0</t>
        </is>
      </c>
      <c r="AE27" t="inlineStr">
        <is>
          <t>6</t>
        </is>
      </c>
      <c r="AH27" t="inlineStr">
        <is>
          <t>0</t>
        </is>
      </c>
      <c r="AI27" t="inlineStr">
        <is>
          <t>0%</t>
        </is>
      </c>
      <c r="AJ27" t="inlineStr">
        <is>
          <t>0,00%</t>
        </is>
      </c>
      <c r="AP27" t="inlineStr">
        <is>
          <t>E002097</t>
        </is>
      </c>
      <c r="AQ27" t="inlineStr">
        <is>
          <t>-10,837245</t>
        </is>
      </c>
      <c r="AR27" t="inlineStr">
        <is>
          <t>-42,384947</t>
        </is>
      </c>
      <c r="AS27" t="inlineStr">
        <is>
          <t>R$ 36.798,37</t>
        </is>
      </c>
      <c r="AT27" t="inlineStr">
        <is>
          <t>R$ 16.182,69</t>
        </is>
      </c>
      <c r="AU27" t="inlineStr">
        <is>
          <t>2287</t>
        </is>
      </c>
      <c r="BA27" t="inlineStr">
        <is>
          <t>RVD-01N1</t>
        </is>
      </c>
      <c r="BB27" t="inlineStr">
        <is>
          <t>V25512</t>
        </is>
      </c>
      <c r="BI27" t="inlineStr">
        <is>
          <t>E002097</t>
        </is>
      </c>
      <c r="BJ27" t="inlineStr">
        <is>
          <t>ALTERAR ESTRUTURA DE N3 P/ N4 NO PG: E002097</t>
        </is>
      </c>
      <c r="BK27" t="inlineStr">
        <is>
          <t>.</t>
        </is>
      </c>
    </row>
    <row r="28">
      <c r="A28" t="inlineStr">
        <is>
          <t>9102310924</t>
        </is>
      </c>
      <c r="B28" t="inlineStr">
        <is>
          <t>B-1217092</t>
        </is>
      </c>
      <c r="E28" t="inlineStr">
        <is>
          <t>ER-CIND-POV-RIO VERDE III-RURAL</t>
        </is>
      </c>
      <c r="F28" t="inlineStr">
        <is>
          <t>ITAGUAÇU DA BAHIA</t>
        </is>
      </c>
      <c r="G28" t="inlineStr">
        <is>
          <t>RETIRADA DA CARTEIRA</t>
        </is>
      </c>
      <c r="J28" t="inlineStr">
        <is>
          <t>#N/A</t>
        </is>
      </c>
      <c r="K28" t="inlineStr">
        <is>
          <t>JARBAS LIMA VIEIRA - U348612</t>
        </is>
      </c>
      <c r="L28" t="inlineStr">
        <is>
          <t>PLANO 7</t>
        </is>
      </c>
      <c r="M28" t="inlineStr">
        <is>
          <t>QLP</t>
        </is>
      </c>
      <c r="U28" t="inlineStr">
        <is>
          <t>N/A</t>
        </is>
      </c>
      <c r="X28" t="inlineStr">
        <is>
          <t>N/A</t>
        </is>
      </c>
      <c r="AA28" t="inlineStr">
        <is>
          <t>1040704</t>
        </is>
      </c>
      <c r="AB28" t="inlineStr">
        <is>
          <t>E894632 AO E894650</t>
        </is>
      </c>
      <c r="AC28" t="inlineStr">
        <is>
          <t>1</t>
        </is>
      </c>
      <c r="AE28" t="inlineStr">
        <is>
          <t>19</t>
        </is>
      </c>
      <c r="AH28" t="inlineStr">
        <is>
          <t>0</t>
        </is>
      </c>
      <c r="AI28" t="inlineStr">
        <is>
          <t>0%</t>
        </is>
      </c>
      <c r="AP28" t="inlineStr">
        <is>
          <t>B892575</t>
        </is>
      </c>
      <c r="AQ28" t="inlineStr">
        <is>
          <t>-11,009208</t>
        </is>
      </c>
      <c r="AR28" t="inlineStr">
        <is>
          <t>-42,330768</t>
        </is>
      </c>
      <c r="AS28" t="inlineStr">
        <is>
          <t>R$ 132.100,53</t>
        </is>
      </c>
      <c r="AT28" t="inlineStr">
        <is>
          <t>R$ 47.618,24</t>
        </is>
      </c>
      <c r="AU28" t="inlineStr">
        <is>
          <t>#N/A</t>
        </is>
      </c>
      <c r="BA28" t="inlineStr">
        <is>
          <t>RVD-01N1</t>
        </is>
      </c>
      <c r="BB28" t="inlineStr">
        <is>
          <t>J58433</t>
        </is>
      </c>
      <c r="BI28" t="inlineStr">
        <is>
          <t>B892575</t>
        </is>
      </c>
      <c r="BJ28" t="inlineStr">
        <is>
          <t>ALTERAR ESTRUTURA DE N3 P/ N4 NO PG: B892575, FECHAR CHAVE NOVA PRÓXIMO AO PG: B892575 E ENERGIZAR OBRA.</t>
        </is>
      </c>
      <c r="BK28" t="inlineStr">
        <is>
          <t>.</t>
        </is>
      </c>
    </row>
    <row r="29">
      <c r="A29" t="inlineStr">
        <is>
          <t>9102345156</t>
        </is>
      </c>
      <c r="B29" t="inlineStr">
        <is>
          <t>B-1228995</t>
        </is>
      </c>
      <c r="E29" t="inlineStr">
        <is>
          <t>ER-CIND-POV-LAGES-RURAL</t>
        </is>
      </c>
      <c r="F29" t="inlineStr">
        <is>
          <t>ITAGUAÇU DA BAHIA</t>
        </is>
      </c>
      <c r="G29" t="inlineStr">
        <is>
          <t>RETIRADA DA CARTEIRA</t>
        </is>
      </c>
      <c r="J29" t="inlineStr">
        <is>
          <t>#N/A</t>
        </is>
      </c>
      <c r="K29" t="inlineStr">
        <is>
          <t>JARBAS LIMA VIEIRA - U348612</t>
        </is>
      </c>
      <c r="L29" t="inlineStr">
        <is>
          <t>PLANO 7</t>
        </is>
      </c>
      <c r="M29" t="inlineStr">
        <is>
          <t>QLP</t>
        </is>
      </c>
      <c r="U29" t="inlineStr">
        <is>
          <t>N/A</t>
        </is>
      </c>
      <c r="X29" t="inlineStr">
        <is>
          <t>N/A</t>
        </is>
      </c>
      <c r="AA29" t="inlineStr">
        <is>
          <t>1040728</t>
        </is>
      </c>
      <c r="AB29" t="inlineStr">
        <is>
          <t>E894970 AO E895082</t>
        </is>
      </c>
      <c r="AC29" t="inlineStr">
        <is>
          <t>10</t>
        </is>
      </c>
      <c r="AE29" t="inlineStr">
        <is>
          <t>113</t>
        </is>
      </c>
      <c r="AH29" t="inlineStr">
        <is>
          <t>0</t>
        </is>
      </c>
      <c r="AI29" t="inlineStr">
        <is>
          <t>0%</t>
        </is>
      </c>
      <c r="AP29" t="inlineStr">
        <is>
          <t>B798632</t>
        </is>
      </c>
      <c r="AQ29" t="inlineStr">
        <is>
          <t>-10.838029</t>
        </is>
      </c>
      <c r="AR29" t="inlineStr">
        <is>
          <t>-42.461932</t>
        </is>
      </c>
      <c r="AU29" t="inlineStr">
        <is>
          <t>#N/A</t>
        </is>
      </c>
      <c r="BA29" t="inlineStr">
        <is>
          <t>RVD-01N1</t>
        </is>
      </c>
      <c r="BB29" t="inlineStr">
        <is>
          <t>V05997</t>
        </is>
      </c>
      <c r="BI29" t="inlineStr">
        <is>
          <t>B798632</t>
        </is>
      </c>
      <c r="BJ29" t="inlineStr">
        <is>
          <t>INTERCALAR POSTE AT COM N1-3 ENTRE OS PG: B798632 - B798633, FECHAR CHAVE NOVA PRÓXIMO AO PG: B798632  E ENERGIZAR OBRA.</t>
        </is>
      </c>
      <c r="BK29" t="inlineStr">
        <is>
          <t>.</t>
        </is>
      </c>
    </row>
    <row r="30">
      <c r="A30" t="inlineStr">
        <is>
          <t>9102334555</t>
        </is>
      </c>
      <c r="B30" t="inlineStr">
        <is>
          <t>B-1218109</t>
        </is>
      </c>
      <c r="E30" t="inlineStr">
        <is>
          <t>ER-CIND-POV-FLORESTA IRINEUS-RURAL</t>
        </is>
      </c>
      <c r="F30" t="inlineStr">
        <is>
          <t>JOÃO DOURADO</t>
        </is>
      </c>
      <c r="G30" t="inlineStr">
        <is>
          <t>EM EXECUÇÃO</t>
        </is>
      </c>
      <c r="I30" t="inlineStr">
        <is>
          <t>VANILSON LUCIO DOS SANTOS SILVA - NTS368534</t>
        </is>
      </c>
      <c r="J30" t="inlineStr">
        <is>
          <t>DJALMA RIOS DA CRUZ - NTS411576</t>
        </is>
      </c>
      <c r="K30" t="inlineStr">
        <is>
          <t>PEDRO ANDERSON NERI DE SOUZA - U465037</t>
        </is>
      </c>
      <c r="L30" t="inlineStr">
        <is>
          <t>PLANO 7</t>
        </is>
      </c>
      <c r="M30" t="inlineStr">
        <is>
          <t>QLP</t>
        </is>
      </c>
      <c r="N30" t="inlineStr">
        <is>
          <t>22/10/25</t>
        </is>
      </c>
      <c r="O30" t="inlineStr">
        <is>
          <t xml:space="preserve">OBRA APITAR PARA CONSTRUÇÃO. ADF JÁ  FOI CONATRUIDA. DE N3-3 PARA  N4-3  LV
</t>
        </is>
      </c>
      <c r="P30" t="inlineStr">
        <is>
          <t>23/10/25</t>
        </is>
      </c>
      <c r="Q30" t="inlineStr">
        <is>
          <t>27/10</t>
        </is>
      </c>
      <c r="S30" t="inlineStr">
        <is>
          <t>2025-132592</t>
        </is>
      </c>
      <c r="T30" t="inlineStr">
        <is>
          <t>01/12/2025</t>
        </is>
      </c>
      <c r="U30" t="inlineStr">
        <is>
          <t>N/A</t>
        </is>
      </c>
      <c r="V30" t="inlineStr">
        <is>
          <t>2025-132631</t>
        </is>
      </c>
      <c r="W30" t="inlineStr">
        <is>
          <t>01/12/2025</t>
        </is>
      </c>
      <c r="X30" t="inlineStr">
        <is>
          <t>N/A</t>
        </is>
      </c>
      <c r="AA30" t="inlineStr">
        <is>
          <t>1040705</t>
        </is>
      </c>
      <c r="AB30" t="inlineStr">
        <is>
          <t>E894651 AO E894669</t>
        </is>
      </c>
      <c r="AC30" t="inlineStr">
        <is>
          <t>2</t>
        </is>
      </c>
      <c r="AE30" t="inlineStr">
        <is>
          <t>19</t>
        </is>
      </c>
      <c r="AF30" t="inlineStr">
        <is>
          <t>17</t>
        </is>
      </c>
      <c r="AG30" t="inlineStr">
        <is>
          <t>3</t>
        </is>
      </c>
      <c r="AH30" t="inlineStr">
        <is>
          <t>16</t>
        </is>
      </c>
      <c r="AI30" t="inlineStr">
        <is>
          <t>16%</t>
        </is>
      </c>
      <c r="AJ30" t="inlineStr">
        <is>
          <t>100,00%</t>
        </is>
      </c>
      <c r="AK30" t="inlineStr">
        <is>
          <t>11/11/2025</t>
        </is>
      </c>
      <c r="AL30" t="inlineStr">
        <is>
          <t>18/11/2025</t>
        </is>
      </c>
      <c r="AP30" t="inlineStr">
        <is>
          <t>B652180</t>
        </is>
      </c>
      <c r="AQ30" t="inlineStr">
        <is>
          <t>-11,243142</t>
        </is>
      </c>
      <c r="AR30" t="inlineStr">
        <is>
          <t>-41,548018</t>
        </is>
      </c>
      <c r="AS30" t="inlineStr">
        <is>
          <t>R$ 179.272,42</t>
        </is>
      </c>
      <c r="AT30" t="inlineStr">
        <is>
          <t>R$ 50.631,07</t>
        </is>
      </c>
      <c r="AU30" t="inlineStr">
        <is>
          <t>2293</t>
        </is>
      </c>
      <c r="BA30" t="inlineStr">
        <is>
          <t>ADD-01W2</t>
        </is>
      </c>
      <c r="BB30" t="inlineStr">
        <is>
          <t>G36177</t>
        </is>
      </c>
      <c r="BI30" t="inlineStr">
        <is>
          <t>B652174</t>
        </is>
      </c>
      <c r="BJ30" t="inlineStr">
        <is>
          <t>ALTERAR ESTRUTURA DE N3 P/ N4 NO PG: B652174 E ENERGIZAR OBRA.</t>
        </is>
      </c>
      <c r="BK30" t="inlineStr">
        <is>
          <t>REVISADO APÓS ANÁLISE</t>
        </is>
      </c>
    </row>
    <row r="31">
      <c r="A31" t="inlineStr">
        <is>
          <t>9102332453</t>
        </is>
      </c>
      <c r="B31" t="inlineStr">
        <is>
          <t>B-1226260</t>
        </is>
      </c>
      <c r="E31" t="inlineStr">
        <is>
          <t>ER-CIND-POV-MATA DO MILHO-CENTRO</t>
        </is>
      </c>
      <c r="F31" t="inlineStr">
        <is>
          <t>JOÃO DOURADO</t>
        </is>
      </c>
      <c r="G31" t="inlineStr">
        <is>
          <t>PROGRAMADA</t>
        </is>
      </c>
      <c r="I31" t="inlineStr">
        <is>
          <t>WILIAN DA SILVA SENA - NTS032577</t>
        </is>
      </c>
      <c r="J31" t="inlineStr">
        <is>
          <t>DJALMA RIOS DA CRUZ - NTS411576</t>
        </is>
      </c>
      <c r="K31" t="inlineStr">
        <is>
          <t>PEDRO ANDERSON NERI DE SOUZA - U465037</t>
        </is>
      </c>
      <c r="L31" t="inlineStr">
        <is>
          <t>PLANO 7</t>
        </is>
      </c>
      <c r="M31" t="inlineStr">
        <is>
          <t>QLP</t>
        </is>
      </c>
      <c r="N31" t="inlineStr">
        <is>
          <t>09/10/25</t>
        </is>
      </c>
      <c r="O31" t="inlineStr">
        <is>
          <t>INTERCALAR POSTE MT 11/600 NO OUTRO LADO DA CERCA. POIS SE TRANSFORMAR A EXISTENTE EM N4 VAI SAIR MUITO TORTA POR CONTA DO POSTE DT.</t>
        </is>
      </c>
      <c r="P31" t="inlineStr">
        <is>
          <t>13/10/25</t>
        </is>
      </c>
      <c r="Q31" t="inlineStr">
        <is>
          <t>27/10/25</t>
        </is>
      </c>
      <c r="S31" t="inlineStr">
        <is>
          <t>2025-132600</t>
        </is>
      </c>
      <c r="T31" t="inlineStr">
        <is>
          <t>01/12/2025</t>
        </is>
      </c>
      <c r="U31" t="inlineStr">
        <is>
          <t>N/A</t>
        </is>
      </c>
      <c r="V31" t="inlineStr">
        <is>
          <t>2025-132632</t>
        </is>
      </c>
      <c r="W31" t="inlineStr">
        <is>
          <t>01/12/2025</t>
        </is>
      </c>
      <c r="X31" t="inlineStr">
        <is>
          <t>N/A</t>
        </is>
      </c>
      <c r="AA31" t="inlineStr">
        <is>
          <t>1040707</t>
        </is>
      </c>
      <c r="AB31" t="inlineStr">
        <is>
          <t>E894685 AO E894705</t>
        </is>
      </c>
      <c r="AC31" t="inlineStr">
        <is>
          <t>3</t>
        </is>
      </c>
      <c r="AE31" t="inlineStr">
        <is>
          <t>21</t>
        </is>
      </c>
      <c r="AF31" t="inlineStr">
        <is>
          <t>6</t>
        </is>
      </c>
      <c r="AG31" t="inlineStr">
        <is>
          <t>2</t>
        </is>
      </c>
      <c r="AH31" t="inlineStr">
        <is>
          <t>19</t>
        </is>
      </c>
      <c r="AI31" t="inlineStr">
        <is>
          <t>10%</t>
        </is>
      </c>
      <c r="AJ31" t="inlineStr">
        <is>
          <t>100,00%</t>
        </is>
      </c>
      <c r="AK31" t="inlineStr">
        <is>
          <t>03/11/2025</t>
        </is>
      </c>
      <c r="AL31" t="inlineStr">
        <is>
          <t>14/11/2025</t>
        </is>
      </c>
      <c r="AP31" t="inlineStr">
        <is>
          <t>E309658</t>
        </is>
      </c>
      <c r="AQ31" t="inlineStr">
        <is>
          <t>-11,182657</t>
        </is>
      </c>
      <c r="AR31" t="inlineStr">
        <is>
          <t>-41,397356</t>
        </is>
      </c>
      <c r="AS31" t="inlineStr">
        <is>
          <t>R$ 191.826,90</t>
        </is>
      </c>
      <c r="AT31" t="inlineStr">
        <is>
          <t>R$ 51.412,43</t>
        </is>
      </c>
      <c r="AU31" t="inlineStr">
        <is>
          <t>2294</t>
        </is>
      </c>
      <c r="AX31" t="inlineStr">
        <is>
          <t>0,37</t>
        </is>
      </c>
      <c r="BA31" t="inlineStr">
        <is>
          <t>IRC-01L4</t>
        </is>
      </c>
      <c r="BB31" t="inlineStr">
        <is>
          <t>N31196</t>
        </is>
      </c>
      <c r="BI31" t="inlineStr">
        <is>
          <t>E309658</t>
        </is>
      </c>
      <c r="BJ31" t="inlineStr">
        <is>
          <t>ALTERAR ESTRUTURA DE N3 P/ N4 NO PG: E309658, FECHAR CHAVE NOVA PRÓXIMO AO PG: E309658 E ENERGIZAR OBRA.</t>
        </is>
      </c>
      <c r="BK31" t="inlineStr">
        <is>
          <t>REVISADO APÓS ANÁLISE</t>
        </is>
      </c>
    </row>
    <row r="32">
      <c r="A32" t="inlineStr">
        <is>
          <t>9102343093</t>
        </is>
      </c>
      <c r="B32" t="inlineStr">
        <is>
          <t>B-1227809</t>
        </is>
      </c>
      <c r="E32" t="inlineStr">
        <is>
          <t>ER-CIND-POV-ASSENTAMENTO SERRA AZUL-SERR</t>
        </is>
      </c>
      <c r="F32" t="inlineStr">
        <is>
          <t>JOÃO DOURADO</t>
        </is>
      </c>
      <c r="G32" t="inlineStr">
        <is>
          <t>PROGRAMADA</t>
        </is>
      </c>
      <c r="I32" t="inlineStr">
        <is>
          <t>WILIAN DA SILVA SENA - NTS032577</t>
        </is>
      </c>
      <c r="J32" t="inlineStr">
        <is>
          <t>DJALMA RIOS DA CRUZ - NTS411576</t>
        </is>
      </c>
      <c r="K32" t="inlineStr">
        <is>
          <t>PEDRO ANDERSON NERI DE SOUZA - U465037</t>
        </is>
      </c>
      <c r="L32" t="inlineStr">
        <is>
          <t>PLANO 7</t>
        </is>
      </c>
      <c r="M32" t="inlineStr">
        <is>
          <t>QLP</t>
        </is>
      </c>
      <c r="N32" t="inlineStr">
        <is>
          <t>09/10/25</t>
        </is>
      </c>
      <c r="O32" t="inlineStr">
        <is>
          <t xml:space="preserve">JA EXISTE UMA OBRA SAINDO DA DERIVAÇÃO EM QUESTAO QUE AINDA ESTA EM EXECUÇÃO, POREM, NA PRIMEIRA N3-3 AO INVES DE IR PRA ESQUERDA VAI PRA DIREITA. </t>
        </is>
      </c>
      <c r="P32" t="inlineStr">
        <is>
          <t>21/10/25</t>
        </is>
      </c>
      <c r="Q32" t="inlineStr">
        <is>
          <t>27/10</t>
        </is>
      </c>
      <c r="S32" t="inlineStr">
        <is>
          <t>2025-132601</t>
        </is>
      </c>
      <c r="T32" t="inlineStr">
        <is>
          <t>01/12/2025</t>
        </is>
      </c>
      <c r="U32" t="inlineStr">
        <is>
          <t>N/A</t>
        </is>
      </c>
      <c r="V32" t="inlineStr">
        <is>
          <t>2025-132634</t>
        </is>
      </c>
      <c r="W32" t="inlineStr">
        <is>
          <t>01/12/2025</t>
        </is>
      </c>
      <c r="X32" t="inlineStr">
        <is>
          <t>N/A</t>
        </is>
      </c>
      <c r="AA32" t="inlineStr">
        <is>
          <t>1040708</t>
        </is>
      </c>
      <c r="AB32" t="inlineStr">
        <is>
          <t>E894706 AO E894734</t>
        </is>
      </c>
      <c r="AC32" t="inlineStr">
        <is>
          <t>1</t>
        </is>
      </c>
      <c r="AE32" t="inlineStr">
        <is>
          <t>29</t>
        </is>
      </c>
      <c r="AF32" t="inlineStr">
        <is>
          <t>4</t>
        </is>
      </c>
      <c r="AG32" t="inlineStr">
        <is>
          <t>3</t>
        </is>
      </c>
      <c r="AH32" t="inlineStr">
        <is>
          <t>26</t>
        </is>
      </c>
      <c r="AI32" t="inlineStr">
        <is>
          <t>10%</t>
        </is>
      </c>
      <c r="AJ32" t="inlineStr">
        <is>
          <t>100,00%</t>
        </is>
      </c>
      <c r="AK32" t="inlineStr">
        <is>
          <t>17/11/2025</t>
        </is>
      </c>
      <c r="AL32" t="inlineStr">
        <is>
          <t>30/11/2025</t>
        </is>
      </c>
      <c r="AP32" t="inlineStr">
        <is>
          <t>D027549</t>
        </is>
      </c>
      <c r="AQ32" t="inlineStr">
        <is>
          <t>-11,156158</t>
        </is>
      </c>
      <c r="AR32" t="inlineStr">
        <is>
          <t>-41,404053</t>
        </is>
      </c>
      <c r="AS32" t="inlineStr">
        <is>
          <t>R$ 237.459,61</t>
        </is>
      </c>
      <c r="AT32" t="inlineStr">
        <is>
          <t>R$ 69.838,53</t>
        </is>
      </c>
      <c r="AU32" t="inlineStr">
        <is>
          <t>2294</t>
        </is>
      </c>
      <c r="BA32" t="inlineStr">
        <is>
          <t>IRC-01L4</t>
        </is>
      </c>
      <c r="BB32" t="inlineStr">
        <is>
          <t>J13493</t>
        </is>
      </c>
      <c r="BI32" t="inlineStr">
        <is>
          <t>D027549</t>
        </is>
      </c>
      <c r="BJ32" t="inlineStr">
        <is>
          <t>ALTERAR ESTRUTURA DE N3 P/ N4 NO PG: D027549, FECHAR CHAVE NOVA PRÓXIMO AO PG: D027549 E ENERGIZAR OBRA.</t>
        </is>
      </c>
      <c r="BK32" t="inlineStr">
        <is>
          <t>REVISADO APÓS ANÁLISE</t>
        </is>
      </c>
    </row>
    <row r="33">
      <c r="A33" t="inlineStr">
        <is>
          <t>9102330996</t>
        </is>
      </c>
      <c r="B33" t="inlineStr">
        <is>
          <t>B-1228556</t>
        </is>
      </c>
      <c r="E33" t="inlineStr">
        <is>
          <t>ER-CIND-POV-LAGOA DOS LUNDUS-RURAL</t>
        </is>
      </c>
      <c r="F33" t="inlineStr">
        <is>
          <t>JOÃO DOURADO</t>
        </is>
      </c>
      <c r="G33" t="inlineStr">
        <is>
          <t>EM EXECUÇÃO</t>
        </is>
      </c>
      <c r="I33" t="inlineStr">
        <is>
          <t>VANILSON LUCIO DOS SANTOS SILVA - NTS368534</t>
        </is>
      </c>
      <c r="J33" t="inlineStr">
        <is>
          <t>DJALMA RIOS DA CRUZ - NTS411576</t>
        </is>
      </c>
      <c r="K33" t="inlineStr">
        <is>
          <t>PEDRO ANDERSON NERI DE SOUZA - U465037</t>
        </is>
      </c>
      <c r="L33" t="inlineStr">
        <is>
          <t>PLANO 7</t>
        </is>
      </c>
      <c r="M33" t="inlineStr">
        <is>
          <t>QLP</t>
        </is>
      </c>
      <c r="N33" t="inlineStr">
        <is>
          <t>09/10/25</t>
        </is>
      </c>
      <c r="O33" t="inlineStr">
        <is>
          <t>NTERCALAR POSTE MT 11/600 NO PONTO 01 CONFORME PROJETO.</t>
        </is>
      </c>
      <c r="P33" t="inlineStr">
        <is>
          <t>13/10/25</t>
        </is>
      </c>
      <c r="Q33" t="inlineStr">
        <is>
          <t>27/10/25</t>
        </is>
      </c>
      <c r="S33" t="inlineStr">
        <is>
          <t>2025-132605</t>
        </is>
      </c>
      <c r="T33" t="inlineStr">
        <is>
          <t>01/12/2025</t>
        </is>
      </c>
      <c r="U33" t="inlineStr">
        <is>
          <t>N/A</t>
        </is>
      </c>
      <c r="V33" t="inlineStr">
        <is>
          <t>2025-132640</t>
        </is>
      </c>
      <c r="W33" t="inlineStr">
        <is>
          <t>01/12/2025</t>
        </is>
      </c>
      <c r="X33" t="inlineStr">
        <is>
          <t>N/A</t>
        </is>
      </c>
      <c r="AA33" t="inlineStr">
        <is>
          <t>1040713</t>
        </is>
      </c>
      <c r="AB33" t="inlineStr">
        <is>
          <t>E894765 AO E894778</t>
        </is>
      </c>
      <c r="AC33" t="inlineStr">
        <is>
          <t>1</t>
        </is>
      </c>
      <c r="AE33" t="inlineStr">
        <is>
          <t>13</t>
        </is>
      </c>
      <c r="AF33" t="inlineStr">
        <is>
          <t>13</t>
        </is>
      </c>
      <c r="AH33" t="inlineStr">
        <is>
          <t>13</t>
        </is>
      </c>
      <c r="AI33" t="inlineStr">
        <is>
          <t>0%</t>
        </is>
      </c>
      <c r="AJ33" t="inlineStr">
        <is>
          <t>100,00%</t>
        </is>
      </c>
      <c r="AK33" t="inlineStr">
        <is>
          <t>03/11/2025</t>
        </is>
      </c>
      <c r="AL33" t="inlineStr">
        <is>
          <t>10/11/2025</t>
        </is>
      </c>
      <c r="AP33" t="inlineStr">
        <is>
          <t>Q112477</t>
        </is>
      </c>
      <c r="AQ33" t="inlineStr">
        <is>
          <t>-11,158357</t>
        </is>
      </c>
      <c r="AR33" t="inlineStr">
        <is>
          <t>-41,453961</t>
        </is>
      </c>
      <c r="AS33" t="inlineStr">
        <is>
          <t>R$ 119.807,68</t>
        </is>
      </c>
      <c r="AT33" t="inlineStr">
        <is>
          <t>R$ 33.737,14</t>
        </is>
      </c>
      <c r="AU33" t="inlineStr">
        <is>
          <t>2293</t>
        </is>
      </c>
      <c r="AX33" t="inlineStr">
        <is>
          <t>0,10</t>
        </is>
      </c>
      <c r="BA33" t="inlineStr">
        <is>
          <t>IRC-01L4</t>
        </is>
      </c>
      <c r="BB33" t="inlineStr">
        <is>
          <t>V47867</t>
        </is>
      </c>
      <c r="BI33" t="inlineStr">
        <is>
          <t>Q112477</t>
        </is>
      </c>
      <c r="BJ33" t="inlineStr">
        <is>
          <t>INTERCALAR POSTE AT COM N1-3 ENTRE OS PG: Q112477 - Q112478, FECHAR CHAVE NOVA PRÓXIMO AO PG: Q112477 E ENERGIZAR OBRA.</t>
        </is>
      </c>
      <c r="BK33" t="inlineStr">
        <is>
          <t>REVISADO APÓS ANÁLISE</t>
        </is>
      </c>
    </row>
    <row r="34">
      <c r="A34" t="inlineStr">
        <is>
          <t>9101152685</t>
        </is>
      </c>
      <c r="B34" t="inlineStr">
        <is>
          <t>B-0850222</t>
        </is>
      </c>
      <c r="C34" t="inlineStr">
        <is>
          <t>N/A</t>
        </is>
      </c>
      <c r="D34" t="inlineStr">
        <is>
          <t>N/A</t>
        </is>
      </c>
      <c r="E34" t="inlineStr">
        <is>
          <t>ME-JUDI-POV ANGICO-RURAL</t>
        </is>
      </c>
      <c r="F34" t="inlineStr">
        <is>
          <t>JUSSARA</t>
        </is>
      </c>
      <c r="G34" t="inlineStr">
        <is>
          <t>CANCELADA</t>
        </is>
      </c>
      <c r="H34" t="inlineStr">
        <is>
          <t>ADF JÁ EXECUTADA, TRAFO BIFÁSICO JÁ INSTALDAO E-MAIL ENVIADO 27/10</t>
        </is>
      </c>
      <c r="J34" t="inlineStr">
        <is>
          <t>#N/A</t>
        </is>
      </c>
      <c r="K34" t="inlineStr">
        <is>
          <t>FLAVIO ALMEIDA DOS ANJOS - U468839</t>
        </is>
      </c>
      <c r="L34" t="inlineStr">
        <is>
          <t>PLANO 8</t>
        </is>
      </c>
      <c r="M34" t="inlineStr">
        <is>
          <t>AL/MELHORAMENTO</t>
        </is>
      </c>
      <c r="N34" t="inlineStr">
        <is>
          <t>24/10/25</t>
        </is>
      </c>
      <c r="O34" t="inlineStr">
        <is>
          <t>OBRA JÁ CONSTRUIDA POR OUTRA EPS.</t>
        </is>
      </c>
      <c r="AC34" t="inlineStr">
        <is>
          <t>0</t>
        </is>
      </c>
      <c r="AD34" t="inlineStr">
        <is>
          <t>0</t>
        </is>
      </c>
      <c r="AE34" t="inlineStr">
        <is>
          <t>27</t>
        </is>
      </c>
      <c r="AH34" t="inlineStr">
        <is>
          <t>0</t>
        </is>
      </c>
      <c r="AI34" t="inlineStr">
        <is>
          <t>0%</t>
        </is>
      </c>
      <c r="AP34" t="inlineStr">
        <is>
          <t>D146877</t>
        </is>
      </c>
      <c r="AQ34" t="inlineStr">
        <is>
          <t>-10.787621</t>
        </is>
      </c>
      <c r="AR34" t="inlineStr">
        <is>
          <t>-41.97599</t>
        </is>
      </c>
      <c r="AS34" t="inlineStr">
        <is>
          <t>R$ 380.725,07</t>
        </is>
      </c>
      <c r="AT34" t="inlineStr">
        <is>
          <t>R$ 224.947,86</t>
        </is>
      </c>
      <c r="AU34" t="inlineStr">
        <is>
          <t>#N/A</t>
        </is>
      </c>
      <c r="BK34" t="inlineStr">
        <is>
          <t>.</t>
        </is>
      </c>
    </row>
    <row r="35">
      <c r="A35" t="inlineStr">
        <is>
          <t>9100478456</t>
        </is>
      </c>
      <c r="B35" t="inlineStr">
        <is>
          <t>B-0606983</t>
        </is>
      </c>
      <c r="C35" t="inlineStr">
        <is>
          <t>N/A</t>
        </is>
      </c>
      <c r="D35" t="inlineStr">
        <is>
          <t>N/A</t>
        </is>
      </c>
      <c r="E35" t="inlineStr">
        <is>
          <t>ME-ADF.ASSENT.JUAZEIRO/N.HORIZO-RURAL</t>
        </is>
      </c>
      <c r="F35" t="inlineStr">
        <is>
          <t>JUSSARA</t>
        </is>
      </c>
      <c r="G35" t="inlineStr">
        <is>
          <t>CANCELADA</t>
        </is>
      </c>
      <c r="H35" t="inlineStr">
        <is>
          <t>ADF JÁ EXECUTADA, TRAFO BIFÁSICO JÁ INSTALDAO, E-MAIL ENVIADO 27/10</t>
        </is>
      </c>
      <c r="J35" t="inlineStr">
        <is>
          <t>#N/A</t>
        </is>
      </c>
      <c r="K35" t="inlineStr">
        <is>
          <t>FLAVIO ALMEIDA DOS ANJOS - U468839</t>
        </is>
      </c>
      <c r="L35" t="inlineStr">
        <is>
          <t>PLANO 7</t>
        </is>
      </c>
      <c r="M35" t="inlineStr">
        <is>
          <t>GOVERNO</t>
        </is>
      </c>
      <c r="N35" t="inlineStr">
        <is>
          <t>24/10/25</t>
        </is>
      </c>
      <c r="O35" t="inlineStr">
        <is>
          <t>OBRA JÁ CONSTRUIDA POR OUTRA EPS.</t>
        </is>
      </c>
      <c r="AC35" t="inlineStr">
        <is>
          <t>0</t>
        </is>
      </c>
      <c r="AD35" t="inlineStr">
        <is>
          <t>0</t>
        </is>
      </c>
      <c r="AE35" t="inlineStr">
        <is>
          <t>2</t>
        </is>
      </c>
      <c r="AH35" t="inlineStr">
        <is>
          <t>0</t>
        </is>
      </c>
      <c r="AI35" t="inlineStr">
        <is>
          <t>0%</t>
        </is>
      </c>
      <c r="AP35" t="inlineStr">
        <is>
          <t>D272308</t>
        </is>
      </c>
      <c r="AQ35" t="inlineStr">
        <is>
          <t>-10.925261</t>
        </is>
      </c>
      <c r="AR35" t="inlineStr">
        <is>
          <t>-41.923102</t>
        </is>
      </c>
      <c r="AS35" t="inlineStr">
        <is>
          <t>R$ 26.751,73</t>
        </is>
      </c>
      <c r="AT35" t="inlineStr">
        <is>
          <t>R$ 12.838,19</t>
        </is>
      </c>
      <c r="AU35" t="inlineStr">
        <is>
          <t>#N/A</t>
        </is>
      </c>
      <c r="BK35" t="inlineStr">
        <is>
          <t>.</t>
        </is>
      </c>
    </row>
    <row r="36">
      <c r="A36" t="inlineStr">
        <is>
          <t>9101724961</t>
        </is>
      </c>
      <c r="B36" t="inlineStr">
        <is>
          <t>B-1013694</t>
        </is>
      </c>
      <c r="C36" t="inlineStr">
        <is>
          <t>N/A</t>
        </is>
      </c>
      <c r="D36" t="inlineStr">
        <is>
          <t>N/A</t>
        </is>
      </c>
      <c r="E36" t="inlineStr">
        <is>
          <t>IS-DIST-AVN JASON OLIVEIRA 1-CENTRO</t>
        </is>
      </c>
      <c r="F36" t="inlineStr">
        <is>
          <t>LAPÃO</t>
        </is>
      </c>
      <c r="G36" t="inlineStr">
        <is>
          <t>RETIRADA DA CARTEIRA</t>
        </is>
      </c>
      <c r="H36" t="inlineStr">
        <is>
          <t xml:space="preserve">OBRA URBANA DE DIFÍCIL EXECUÇÃO. </t>
        </is>
      </c>
      <c r="J36" t="inlineStr">
        <is>
          <t>#N/A</t>
        </is>
      </c>
      <c r="K36" t="inlineStr">
        <is>
          <t xml:space="preserve">JHONATAN MARANHAO - U617542 </t>
        </is>
      </c>
      <c r="L36" t="inlineStr">
        <is>
          <t>PLANO 8</t>
        </is>
      </c>
      <c r="M36" t="inlineStr">
        <is>
          <t>INTERV SEGURANÇA</t>
        </is>
      </c>
      <c r="AA36" t="inlineStr">
        <is>
          <t>1040692</t>
        </is>
      </c>
      <c r="AB36" t="inlineStr">
        <is>
          <t>E894488 AO E894509</t>
        </is>
      </c>
      <c r="AC36" t="inlineStr">
        <is>
          <t>0</t>
        </is>
      </c>
      <c r="AD36" t="inlineStr">
        <is>
          <t>0</t>
        </is>
      </c>
      <c r="AE36" t="inlineStr">
        <is>
          <t>22</t>
        </is>
      </c>
      <c r="AH36" t="inlineStr">
        <is>
          <t>0</t>
        </is>
      </c>
      <c r="AI36" t="inlineStr">
        <is>
          <t>0%</t>
        </is>
      </c>
      <c r="AP36" t="inlineStr">
        <is>
          <t>Q192203</t>
        </is>
      </c>
      <c r="AQ36" t="inlineStr">
        <is>
          <t>-11,381755</t>
        </is>
      </c>
      <c r="AR36" t="inlineStr">
        <is>
          <t>-41,833177</t>
        </is>
      </c>
      <c r="AS36" t="inlineStr">
        <is>
          <t>R$ 126.301,65</t>
        </is>
      </c>
      <c r="AT36" t="inlineStr">
        <is>
          <t>R$ 48.903,02</t>
        </is>
      </c>
      <c r="AU36" t="inlineStr">
        <is>
          <t>#N/A</t>
        </is>
      </c>
      <c r="BA36" t="inlineStr">
        <is>
          <t>IAS-01M1</t>
        </is>
      </c>
      <c r="BB36" t="inlineStr">
        <is>
          <t>J15320</t>
        </is>
      </c>
      <c r="BI36" t="inlineStr">
        <is>
          <t>Q192203</t>
        </is>
      </c>
      <c r="BK36" t="inlineStr">
        <is>
          <t>.</t>
        </is>
      </c>
    </row>
    <row r="37">
      <c r="A37" t="inlineStr">
        <is>
          <t>9102352016</t>
        </is>
      </c>
      <c r="B37" t="inlineStr">
        <is>
          <t>B-1228748</t>
        </is>
      </c>
      <c r="C37" t="inlineStr">
        <is>
          <t>N/A</t>
        </is>
      </c>
      <c r="D37" t="inlineStr">
        <is>
          <t>N/A</t>
        </is>
      </c>
      <c r="E37" t="inlineStr">
        <is>
          <t>AC-CIND-PR -DA IGREJA-RURAL</t>
        </is>
      </c>
      <c r="F37" t="inlineStr">
        <is>
          <t>LAPÃO</t>
        </is>
      </c>
      <c r="G37" t="inlineStr">
        <is>
          <t>PROGRAMADA</t>
        </is>
      </c>
      <c r="I37" t="inlineStr">
        <is>
          <t>ALAN NUNES BARRETO - NTS415566</t>
        </is>
      </c>
      <c r="J37" t="inlineStr">
        <is>
          <t>DJALMA RIOS DA CRUZ - NTS411576</t>
        </is>
      </c>
      <c r="K37" t="inlineStr">
        <is>
          <t xml:space="preserve">JHONATAN MARANHAO - U617542 </t>
        </is>
      </c>
      <c r="L37" t="inlineStr">
        <is>
          <t>PLANO 7</t>
        </is>
      </c>
      <c r="M37" t="inlineStr">
        <is>
          <t>QLP</t>
        </is>
      </c>
      <c r="N37" t="inlineStr">
        <is>
          <t>08/10/25</t>
        </is>
      </c>
      <c r="O37" t="inlineStr">
        <is>
          <t>VERIFICAR: PROJETO DIVERGE DE CAMPO</t>
        </is>
      </c>
      <c r="P37" t="inlineStr">
        <is>
          <t>30/10/25</t>
        </is>
      </c>
      <c r="Q37" t="inlineStr">
        <is>
          <t>30/10/25</t>
        </is>
      </c>
      <c r="S37" t="inlineStr">
        <is>
          <t>N/A</t>
        </is>
      </c>
      <c r="T37" t="inlineStr">
        <is>
          <t>N/A</t>
        </is>
      </c>
      <c r="U37" t="inlineStr">
        <is>
          <t>N/A</t>
        </is>
      </c>
      <c r="V37" t="inlineStr">
        <is>
          <t>2025-134612</t>
        </is>
      </c>
      <c r="W37" t="inlineStr">
        <is>
          <t>11/11/2025</t>
        </is>
      </c>
      <c r="X37" t="inlineStr">
        <is>
          <t>2025-134612</t>
        </is>
      </c>
      <c r="Y37" t="inlineStr">
        <is>
          <t>11/11/2025</t>
        </is>
      </c>
      <c r="Z37" t="inlineStr">
        <is>
          <t>APROVADA</t>
        </is>
      </c>
      <c r="AC37" t="inlineStr">
        <is>
          <t>0</t>
        </is>
      </c>
      <c r="AD37" t="inlineStr">
        <is>
          <t>0</t>
        </is>
      </c>
      <c r="AE37" t="inlineStr">
        <is>
          <t>0</t>
        </is>
      </c>
      <c r="AH37" t="inlineStr">
        <is>
          <t>0</t>
        </is>
      </c>
      <c r="AI37" t="inlineStr">
        <is>
          <t>0%</t>
        </is>
      </c>
      <c r="AJ37" t="inlineStr">
        <is>
          <t>100,00%</t>
        </is>
      </c>
      <c r="AK37" t="inlineStr">
        <is>
          <t>11/11/2025</t>
        </is>
      </c>
      <c r="AL37" t="inlineStr">
        <is>
          <t>11/11/2025</t>
        </is>
      </c>
      <c r="AP37" t="inlineStr">
        <is>
          <t>Q108655</t>
        </is>
      </c>
      <c r="AQ37" t="inlineStr">
        <is>
          <t>-11,476205</t>
        </is>
      </c>
      <c r="AR37" t="inlineStr">
        <is>
          <t>-41,770260</t>
        </is>
      </c>
      <c r="AS37" t="inlineStr">
        <is>
          <t>R$ 3.921,13</t>
        </is>
      </c>
      <c r="AT37" t="inlineStr">
        <is>
          <t>R$ 1.250,46</t>
        </is>
      </c>
      <c r="AU37" t="inlineStr">
        <is>
          <t>2366</t>
        </is>
      </c>
      <c r="BA37" t="inlineStr">
        <is>
          <t>IBB-01Y6</t>
        </is>
      </c>
      <c r="BB37" t="inlineStr">
        <is>
          <t>J16156</t>
        </is>
      </c>
      <c r="BI37" t="inlineStr">
        <is>
          <t>Q108655</t>
        </is>
      </c>
      <c r="BJ37" t="inlineStr">
        <is>
          <t>DÁ TOMBO NO  TRAFO: J16156 E ABRIR PASSAGEM NO PG: Q108655 PARA RECONDUTORAMENTO BT DO PG: Q108655 AO Q108658 E ENERGIZAR OBRA.</t>
        </is>
      </c>
      <c r="BK37" t="inlineStr">
        <is>
          <t>REVISADO APÓS ANÁLISE</t>
        </is>
      </c>
    </row>
    <row r="38">
      <c r="A38" t="inlineStr">
        <is>
          <t>9102248509</t>
        </is>
      </c>
      <c r="B38" t="inlineStr">
        <is>
          <t>B-1207274</t>
        </is>
      </c>
      <c r="E38" t="inlineStr">
        <is>
          <t>RR-CIND-FAZ-BOA VISTA-RURAL</t>
        </is>
      </c>
      <c r="F38" t="inlineStr">
        <is>
          <t>MORRO DO CHAPÉU</t>
        </is>
      </c>
      <c r="G38" t="inlineStr">
        <is>
          <t>PROGRAMADA</t>
        </is>
      </c>
      <c r="H38" t="inlineStr">
        <is>
          <t>CHAVE NÃO CADASTRADA NO GSE</t>
        </is>
      </c>
      <c r="I38" t="inlineStr">
        <is>
          <t>EDILSON DE SOUZA SANTOS - NTS284548</t>
        </is>
      </c>
      <c r="J38" t="inlineStr">
        <is>
          <t>DJALMA RIOS DA CRUZ - NTS411576</t>
        </is>
      </c>
      <c r="K38" t="inlineStr">
        <is>
          <t>JOSE ANTONIO SIMAS NETO - U349485</t>
        </is>
      </c>
      <c r="L38" t="inlineStr">
        <is>
          <t>PLANO 7</t>
        </is>
      </c>
      <c r="M38" t="inlineStr">
        <is>
          <t>QLP</t>
        </is>
      </c>
      <c r="N38" t="inlineStr">
        <is>
          <t>13/10/25</t>
        </is>
      </c>
      <c r="O38" t="inlineStr">
        <is>
          <t>BITOLA DO CABO NA DERIVAÇÃO É MAIOR. E NAO POSSUI CONEC. ESTRIBO.</t>
        </is>
      </c>
      <c r="P38" t="inlineStr">
        <is>
          <t>13/10/25</t>
        </is>
      </c>
      <c r="Q38" t="inlineStr">
        <is>
          <t>27/10/25</t>
        </is>
      </c>
      <c r="S38" t="inlineStr">
        <is>
          <t>2025-133349
2025-137913</t>
        </is>
      </c>
      <c r="T38" t="inlineStr">
        <is>
          <t>01/12/2025</t>
        </is>
      </c>
      <c r="U38" t="inlineStr">
        <is>
          <t>N/A</t>
        </is>
      </c>
      <c r="V38" t="inlineStr">
        <is>
          <t>2025-133387</t>
        </is>
      </c>
      <c r="W38" t="inlineStr">
        <is>
          <t>01/12/2025</t>
        </is>
      </c>
      <c r="X38" t="inlineStr">
        <is>
          <t>2025-134340</t>
        </is>
      </c>
      <c r="Y38" t="inlineStr">
        <is>
          <t>10/11/2025</t>
        </is>
      </c>
      <c r="Z38" t="inlineStr">
        <is>
          <t>APROVADA</t>
        </is>
      </c>
      <c r="AA38" t="inlineStr">
        <is>
          <t>1040691</t>
        </is>
      </c>
      <c r="AB38" t="inlineStr">
        <is>
          <t>E894476 AO E894487</t>
        </is>
      </c>
      <c r="AC38" t="inlineStr">
        <is>
          <t>1</t>
        </is>
      </c>
      <c r="AE38" t="inlineStr">
        <is>
          <t>12</t>
        </is>
      </c>
      <c r="AH38" t="inlineStr">
        <is>
          <t>12</t>
        </is>
      </c>
      <c r="AI38" t="inlineStr">
        <is>
          <t>0%</t>
        </is>
      </c>
      <c r="AJ38" t="inlineStr">
        <is>
          <t>100,00%</t>
        </is>
      </c>
      <c r="AK38" t="inlineStr">
        <is>
          <t>03/11/2025</t>
        </is>
      </c>
      <c r="AL38" t="inlineStr">
        <is>
          <t>10/11/2025</t>
        </is>
      </c>
      <c r="AP38" t="inlineStr">
        <is>
          <t>B778401</t>
        </is>
      </c>
      <c r="AQ38" t="inlineStr">
        <is>
          <t>-11,633036</t>
        </is>
      </c>
      <c r="AR38" t="inlineStr">
        <is>
          <t>-41,149286</t>
        </is>
      </c>
      <c r="AS38" t="inlineStr">
        <is>
          <t>R$ 145.719,23</t>
        </is>
      </c>
      <c r="AT38" t="inlineStr">
        <is>
          <t>R$ 38.623,02</t>
        </is>
      </c>
      <c r="AU38" t="inlineStr">
        <is>
          <t>2295</t>
        </is>
      </c>
      <c r="BA38" t="inlineStr">
        <is>
          <t>MCH-01C1</t>
        </is>
      </c>
      <c r="BB38" t="inlineStr">
        <is>
          <t>G08375</t>
        </is>
      </c>
      <c r="BI38" t="inlineStr">
        <is>
          <t>B778401</t>
        </is>
      </c>
      <c r="BJ38" t="inlineStr">
        <is>
          <t>LANÇAR 02 VÃO DE RD MT DO PG: B778405 AO B778420 E ENERGIZAR OBRA.  MONTAR BANCADA COM N3 NO PG: B778426 E ENERGIZAR OBRA.</t>
        </is>
      </c>
      <c r="BK38" t="inlineStr">
        <is>
          <t>REVISADO APÓS ANÁLISE</t>
        </is>
      </c>
    </row>
    <row r="39">
      <c r="A39" t="inlineStr">
        <is>
          <t>9102036188</t>
        </is>
      </c>
      <c r="B39" t="inlineStr">
        <is>
          <t>B-1132224</t>
        </is>
      </c>
      <c r="C39" t="inlineStr">
        <is>
          <t>N/A</t>
        </is>
      </c>
      <c r="D39" t="inlineStr">
        <is>
          <t>N/A</t>
        </is>
      </c>
      <c r="E39" t="inlineStr">
        <is>
          <t>RU-SEIN-RUA-ANTONIO P NETO 1800-CENTRO</t>
        </is>
      </c>
      <c r="F39" t="inlineStr">
        <is>
          <t>PRESIDENTE DUTRA</t>
        </is>
      </c>
      <c r="G39" t="inlineStr">
        <is>
          <t>RETIRADA DA CARTEIRA</t>
        </is>
      </c>
      <c r="H39" t="inlineStr">
        <is>
          <t>SOLICITADA RETIRADA DA CARTEIRA POR BRUNA VIA WHATSAPP DIA 21/10</t>
        </is>
      </c>
      <c r="J39" t="inlineStr">
        <is>
          <t>#N/A</t>
        </is>
      </c>
      <c r="K39" t="inlineStr">
        <is>
          <t>FLAVIO ALMEIDA DOS ANJOS - U468839</t>
        </is>
      </c>
      <c r="L39" t="inlineStr">
        <is>
          <t>PLANO 7</t>
        </is>
      </c>
      <c r="M39" t="inlineStr">
        <is>
          <t>GOVERNO</t>
        </is>
      </c>
      <c r="N39" t="inlineStr">
        <is>
          <t>21/10/25</t>
        </is>
      </c>
      <c r="O39" t="inlineStr">
        <is>
          <t>OBRA APITAR PARA CONSTRUÇÃO
CLIENTES AUSENTE NA VISITA.</t>
        </is>
      </c>
      <c r="AA39" t="inlineStr">
        <is>
          <t>1040715</t>
        </is>
      </c>
      <c r="AB39" t="inlineStr">
        <is>
          <t>E894784 AO E894849</t>
        </is>
      </c>
      <c r="AC39" t="inlineStr">
        <is>
          <t>0</t>
        </is>
      </c>
      <c r="AD39" t="inlineStr">
        <is>
          <t>0</t>
        </is>
      </c>
      <c r="AE39" t="inlineStr">
        <is>
          <t>66</t>
        </is>
      </c>
      <c r="AH39" t="inlineStr">
        <is>
          <t>0</t>
        </is>
      </c>
      <c r="AI39" t="inlineStr">
        <is>
          <t>0%</t>
        </is>
      </c>
      <c r="AP39" t="inlineStr">
        <is>
          <t>D052702</t>
        </is>
      </c>
      <c r="AQ39" t="inlineStr">
        <is>
          <t>-11,288730</t>
        </is>
      </c>
      <c r="AR39" t="inlineStr">
        <is>
          <t>-41,990090</t>
        </is>
      </c>
      <c r="AS39" t="inlineStr">
        <is>
          <t>R$ 530.468,62</t>
        </is>
      </c>
      <c r="AT39" t="inlineStr">
        <is>
          <t>R$ 172.710,37</t>
        </is>
      </c>
      <c r="AU39" t="inlineStr">
        <is>
          <t>#N/A</t>
        </is>
      </c>
      <c r="BA39" t="inlineStr">
        <is>
          <t>IRC-01L6_x000D_
IRC-01L2</t>
        </is>
      </c>
      <c r="BB39" t="inlineStr">
        <is>
          <t>V47786
 J13577</t>
        </is>
      </c>
      <c r="BI39" t="inlineStr">
        <is>
          <t>Q110450
D169300</t>
        </is>
      </c>
      <c r="BJ39" t="inlineStr">
        <is>
          <t xml:space="preserve"> INTERCALAR POSTE AT C/ N4 ENTRE OS PG: Q110450 - D286694,  IRC-01L6
POSTE C/ CE3-N4 ENTRE OS PG: D169300 - D052702 IRC-01L2</t>
        </is>
      </c>
      <c r="BK39" t="inlineStr">
        <is>
          <t>.</t>
        </is>
      </c>
    </row>
    <row r="40">
      <c r="A40" t="inlineStr">
        <is>
          <t>9102339320</t>
        </is>
      </c>
      <c r="B40" t="inlineStr">
        <is>
          <t>B-1228914</t>
        </is>
      </c>
      <c r="E40" t="inlineStr">
        <is>
          <t>ER-CIND-POV-CANOAOZINHO-RURAL</t>
        </is>
      </c>
      <c r="F40" t="inlineStr">
        <is>
          <t>PRESIDENTE DUTRA</t>
        </is>
      </c>
      <c r="G40" t="inlineStr">
        <is>
          <t>PROGRAMADA</t>
        </is>
      </c>
      <c r="I40" t="inlineStr">
        <is>
          <t>GIORLAN EVANGELISTA SOUZA - NTS063576</t>
        </is>
      </c>
      <c r="J40" t="inlineStr">
        <is>
          <t>RENATO ALVES DE OLIVEIRA GONCALVES - NTS467500</t>
        </is>
      </c>
      <c r="K40" t="inlineStr">
        <is>
          <t>JARBAS LIMA VIEIRA - U348612</t>
        </is>
      </c>
      <c r="L40" t="inlineStr">
        <is>
          <t>PLANO 7</t>
        </is>
      </c>
      <c r="M40" t="inlineStr">
        <is>
          <t>QLP</t>
        </is>
      </c>
      <c r="N40" t="inlineStr">
        <is>
          <t>14/10/25</t>
        </is>
      </c>
      <c r="O40" t="inlineStr">
        <is>
          <t>OBRA APITA PARA CONSTRUÇÃO CONFORME PROJETO</t>
        </is>
      </c>
      <c r="P40" t="inlineStr">
        <is>
          <t>20/10/25</t>
        </is>
      </c>
      <c r="Q40" t="inlineStr">
        <is>
          <t>27/10/25</t>
        </is>
      </c>
      <c r="S40" t="inlineStr">
        <is>
          <t>N/A</t>
        </is>
      </c>
      <c r="T40" t="inlineStr">
        <is>
          <t>N/A</t>
        </is>
      </c>
      <c r="U40" t="inlineStr">
        <is>
          <t>N/A</t>
        </is>
      </c>
      <c r="V40" t="inlineStr">
        <is>
          <t>2025-133388</t>
        </is>
      </c>
      <c r="W40" t="inlineStr">
        <is>
          <t>01/12/2025</t>
        </is>
      </c>
      <c r="X40" t="inlineStr">
        <is>
          <t>2025-133512</t>
        </is>
      </c>
      <c r="Y40" t="inlineStr">
        <is>
          <t>11/11/2025</t>
        </is>
      </c>
      <c r="Z40" t="inlineStr">
        <is>
          <t>APROVADA</t>
        </is>
      </c>
      <c r="AA40" t="inlineStr">
        <is>
          <t>1042337</t>
        </is>
      </c>
      <c r="AB40" t="inlineStr">
        <is>
          <t>E908691 AO E908696</t>
        </is>
      </c>
      <c r="AC40" t="inlineStr">
        <is>
          <t>1</t>
        </is>
      </c>
      <c r="AD40" t="inlineStr">
        <is>
          <t>0</t>
        </is>
      </c>
      <c r="AE40" t="inlineStr">
        <is>
          <t>6</t>
        </is>
      </c>
      <c r="AF40" t="inlineStr">
        <is>
          <t>6</t>
        </is>
      </c>
      <c r="AG40" t="inlineStr">
        <is>
          <t>6</t>
        </is>
      </c>
      <c r="AH40" t="inlineStr">
        <is>
          <t>0</t>
        </is>
      </c>
      <c r="AI40" t="inlineStr">
        <is>
          <t>100%</t>
        </is>
      </c>
      <c r="AJ40" t="inlineStr">
        <is>
          <t>100,00%</t>
        </is>
      </c>
      <c r="AK40" t="inlineStr">
        <is>
          <t>06/11/2025</t>
        </is>
      </c>
      <c r="AL40" t="inlineStr">
        <is>
          <t>11/11/2025</t>
        </is>
      </c>
      <c r="AP40" t="inlineStr">
        <is>
          <t>E833174</t>
        </is>
      </c>
      <c r="AQ40" t="inlineStr">
        <is>
          <t>-11.306555</t>
        </is>
      </c>
      <c r="AR40" t="inlineStr">
        <is>
          <t>-42.02167</t>
        </is>
      </c>
      <c r="AS40" t="inlineStr">
        <is>
          <t>R$ 39.811,02</t>
        </is>
      </c>
      <c r="AT40" t="inlineStr">
        <is>
          <t>R$ 15.930,92</t>
        </is>
      </c>
      <c r="AU40" t="inlineStr">
        <is>
          <t>2338</t>
        </is>
      </c>
      <c r="AX40" t="inlineStr">
        <is>
          <t>0,60</t>
        </is>
      </c>
      <c r="BA40" t="inlineStr">
        <is>
          <t>IRC-01L6</t>
        </is>
      </c>
      <c r="BB40" t="inlineStr">
        <is>
          <t>W52721</t>
        </is>
      </c>
      <c r="BI40" t="inlineStr">
        <is>
          <t xml:space="preserve">E812537 </t>
        </is>
      </c>
      <c r="BJ40" t="inlineStr">
        <is>
          <t>ABRIR CHAVE TRAFO: E24663 PARA RECONDUTORAMENTO BT DO PG: E812537 AO E833174 E ENERGIZAR OBRA.</t>
        </is>
      </c>
      <c r="BK40" t="inlineStr">
        <is>
          <t>REVISADO APÓS ANÁLISE</t>
        </is>
      </c>
    </row>
    <row r="41">
      <c r="A41" t="inlineStr">
        <is>
          <t>9102315541</t>
        </is>
      </c>
      <c r="B41" t="inlineStr">
        <is>
          <t>B-1212255</t>
        </is>
      </c>
      <c r="C41" t="inlineStr">
        <is>
          <t>CRIAR</t>
        </is>
      </c>
      <c r="D41" t="inlineStr">
        <is>
          <t>CRIAR</t>
        </is>
      </c>
      <c r="E41" t="inlineStr">
        <is>
          <t>ER-CIND-POV-VARIANTE-RURAL</t>
        </is>
      </c>
      <c r="F41" t="inlineStr">
        <is>
          <t>SÃO GABRIEL</t>
        </is>
      </c>
      <c r="G41" t="inlineStr">
        <is>
          <t>ENERGIZADA</t>
        </is>
      </c>
      <c r="H41" t="inlineStr">
        <is>
          <t>HAVERÁ REDUÇÃO DE POSTES, SOLICITADO VISITA DO AR PARA INCLUSÃO DOS ADICIONAIS</t>
        </is>
      </c>
      <c r="I41" t="inlineStr">
        <is>
          <t>REVERTON BASTOS ROCHA NOVAIS - NTS972592</t>
        </is>
      </c>
      <c r="J41" t="inlineStr">
        <is>
          <t>RENATO ALVES DE OLIVEIRA GONCALVES - NTS467500</t>
        </is>
      </c>
      <c r="K41" t="inlineStr">
        <is>
          <t>FLAVIO ALMEIDA DOS ANJOS - U468839</t>
        </is>
      </c>
      <c r="L41" t="inlineStr">
        <is>
          <t>PLANO 7 ALTERAR P/ 14.4.12.1-LPT</t>
        </is>
      </c>
      <c r="M41" t="inlineStr">
        <is>
          <t>QLP</t>
        </is>
      </c>
      <c r="N41" t="inlineStr">
        <is>
          <t>21/10/25</t>
        </is>
      </c>
      <c r="O41" t="inlineStr">
        <is>
          <t xml:space="preserve">ALTERAR DERIVAÇÃO. MONTAR ESTRUTURA N3 NO PG E855712 E MONTAR N4 COM CHAVE NO PONTO  05. </t>
        </is>
      </c>
      <c r="P41" t="inlineStr">
        <is>
          <t>27/10/25</t>
        </is>
      </c>
      <c r="Q41" t="inlineStr">
        <is>
          <t>28/10/25</t>
        </is>
      </c>
      <c r="S41" t="inlineStr">
        <is>
          <t>2025-138157</t>
        </is>
      </c>
      <c r="T41" t="inlineStr">
        <is>
          <t>01/12/2025</t>
        </is>
      </c>
      <c r="U41" t="inlineStr">
        <is>
          <t>N/A</t>
        </is>
      </c>
      <c r="V41" t="inlineStr">
        <is>
          <t>2025-138157</t>
        </is>
      </c>
      <c r="W41" t="inlineStr">
        <is>
          <t>01/12/2025</t>
        </is>
      </c>
      <c r="X41" t="inlineStr">
        <is>
          <t>N/A</t>
        </is>
      </c>
      <c r="AA41" t="inlineStr">
        <is>
          <t>1040701</t>
        </is>
      </c>
      <c r="AB41" t="inlineStr">
        <is>
          <t>E894596 AO E894616</t>
        </is>
      </c>
      <c r="AC41" t="inlineStr">
        <is>
          <t>1</t>
        </is>
      </c>
      <c r="AD41" t="inlineStr">
        <is>
          <t>1</t>
        </is>
      </c>
      <c r="AE41" t="inlineStr">
        <is>
          <t>7</t>
        </is>
      </c>
      <c r="AF41" t="inlineStr">
        <is>
          <t>7</t>
        </is>
      </c>
      <c r="AG41" t="inlineStr">
        <is>
          <t>7</t>
        </is>
      </c>
      <c r="AH41" t="inlineStr">
        <is>
          <t>0</t>
        </is>
      </c>
      <c r="AI41" t="inlineStr">
        <is>
          <t>100%</t>
        </is>
      </c>
      <c r="AJ41" t="inlineStr">
        <is>
          <t>100,00%</t>
        </is>
      </c>
      <c r="AK41" t="inlineStr">
        <is>
          <t>04/11/2025</t>
        </is>
      </c>
      <c r="AL41" t="inlineStr">
        <is>
          <t>06/11/2025</t>
        </is>
      </c>
      <c r="AN41" t="inlineStr">
        <is>
          <t>06/11/25</t>
        </is>
      </c>
      <c r="AO41" t="inlineStr">
        <is>
          <t>2025-11-14478</t>
        </is>
      </c>
      <c r="AP41" t="inlineStr">
        <is>
          <t>D399496</t>
        </is>
      </c>
      <c r="AQ41" t="inlineStr">
        <is>
          <t>-11,174356</t>
        </is>
      </c>
      <c r="AR41" t="inlineStr">
        <is>
          <t>-41,803870</t>
        </is>
      </c>
      <c r="AS41" t="inlineStr">
        <is>
          <t>R$ 194.370,65</t>
        </is>
      </c>
      <c r="AT41" t="inlineStr">
        <is>
          <t>R$ 70.155,00</t>
        </is>
      </c>
      <c r="AU41" t="inlineStr">
        <is>
          <t>2374</t>
        </is>
      </c>
      <c r="BA41" t="inlineStr">
        <is>
          <t>IRC-01L5</t>
        </is>
      </c>
      <c r="BB41" t="inlineStr">
        <is>
          <t>J52532</t>
        </is>
      </c>
      <c r="BI41" t="inlineStr">
        <is>
          <t>D399496</t>
        </is>
      </c>
      <c r="BJ41" t="inlineStr">
        <is>
          <t>ALTERAR ESTRUTURA DE N3 P/ N4 NO PG: D399496, FECHAR CHAVE NOVA PRÓXIMO AO PG: D399496 E ENERGIZAR OBRA.</t>
        </is>
      </c>
      <c r="BK41" t="inlineStr">
        <is>
          <t>REVISADO APÓS ANÁLISE</t>
        </is>
      </c>
    </row>
    <row r="42">
      <c r="A42" t="inlineStr">
        <is>
          <t>9102346566</t>
        </is>
      </c>
      <c r="B42" t="inlineStr">
        <is>
          <t>B-1227921</t>
        </is>
      </c>
      <c r="C42" t="inlineStr">
        <is>
          <t>N/A</t>
        </is>
      </c>
      <c r="D42" t="inlineStr">
        <is>
          <t>N/A</t>
        </is>
      </c>
      <c r="E42" t="inlineStr">
        <is>
          <t>ER-CIND-PR -VARIANTE II-RURAL</t>
        </is>
      </c>
      <c r="F42" t="inlineStr">
        <is>
          <t>SÃO GABRIEL</t>
        </is>
      </c>
      <c r="G42" t="inlineStr">
        <is>
          <t>ENERGIZADA</t>
        </is>
      </c>
      <c r="I42" t="inlineStr">
        <is>
          <t>REVERTON BASTOS ROCHA NOVAIS - NTS972592</t>
        </is>
      </c>
      <c r="J42" t="inlineStr">
        <is>
          <t>RENATO ALVES DE OLIVEIRA GONCALVES - NTS467500</t>
        </is>
      </c>
      <c r="K42" t="inlineStr">
        <is>
          <t>FLAVIO ALMEIDA DOS ANJOS - U468839</t>
        </is>
      </c>
      <c r="L42" t="inlineStr">
        <is>
          <t>PLANO 7</t>
        </is>
      </c>
      <c r="M42" t="inlineStr">
        <is>
          <t>QLP</t>
        </is>
      </c>
      <c r="N42" t="inlineStr">
        <is>
          <t>21/10/25</t>
        </is>
      </c>
      <c r="O42" t="inlineStr">
        <is>
          <t>ACESSAR A OBRA PELO PONTO ENVIADO NA VISITA. É SO IR RETO E DEPOIS ENTRAR A DIREITA NA N1-3. AI É SO SEGUIR A REDE.</t>
        </is>
      </c>
      <c r="P42" t="inlineStr">
        <is>
          <t>21/10/25</t>
        </is>
      </c>
      <c r="Q42" t="inlineStr">
        <is>
          <t>27/10/25</t>
        </is>
      </c>
      <c r="S42" t="inlineStr">
        <is>
          <t>N/A</t>
        </is>
      </c>
      <c r="T42" t="inlineStr">
        <is>
          <t>N/A</t>
        </is>
      </c>
      <c r="U42" t="inlineStr">
        <is>
          <t>N/A</t>
        </is>
      </c>
      <c r="V42" t="inlineStr">
        <is>
          <t>2025-131459</t>
        </is>
      </c>
      <c r="W42" t="inlineStr">
        <is>
          <t>01/12/2025</t>
        </is>
      </c>
      <c r="X42" t="inlineStr">
        <is>
          <t>N/A</t>
        </is>
      </c>
      <c r="AA42" t="inlineStr">
        <is>
          <t>1040709</t>
        </is>
      </c>
      <c r="AB42" t="inlineStr">
        <is>
          <t>E894735 AO E894739</t>
        </is>
      </c>
      <c r="AC42" t="inlineStr">
        <is>
          <t>1</t>
        </is>
      </c>
      <c r="AD42" t="inlineStr">
        <is>
          <t>0</t>
        </is>
      </c>
      <c r="AE42" t="inlineStr">
        <is>
          <t>5</t>
        </is>
      </c>
      <c r="AF42" t="inlineStr">
        <is>
          <t>5</t>
        </is>
      </c>
      <c r="AG42" t="inlineStr">
        <is>
          <t>5</t>
        </is>
      </c>
      <c r="AH42" t="inlineStr">
        <is>
          <t>0</t>
        </is>
      </c>
      <c r="AI42" t="inlineStr">
        <is>
          <t>100%</t>
        </is>
      </c>
      <c r="AJ42" t="inlineStr">
        <is>
          <t>100,00%</t>
        </is>
      </c>
      <c r="AK42" t="inlineStr">
        <is>
          <t>03/11/2025</t>
        </is>
      </c>
      <c r="AL42" t="inlineStr">
        <is>
          <t>03/11/2025</t>
        </is>
      </c>
      <c r="AN42" t="inlineStr">
        <is>
          <t>03/11/25</t>
        </is>
      </c>
      <c r="AO42" t="inlineStr">
        <is>
          <t>2025-11-5803</t>
        </is>
      </c>
      <c r="AP42" t="inlineStr">
        <is>
          <t>E836219</t>
        </is>
      </c>
      <c r="AQ42" t="inlineStr">
        <is>
          <t>-11,164902</t>
        </is>
      </c>
      <c r="AR42" t="inlineStr">
        <is>
          <t>-41,781158</t>
        </is>
      </c>
      <c r="AS42" t="inlineStr">
        <is>
          <t>R$ 24.722,48</t>
        </is>
      </c>
      <c r="AT42" t="inlineStr">
        <is>
          <t>R$ 10.200,19</t>
        </is>
      </c>
      <c r="AU42" t="inlineStr">
        <is>
          <t>2374</t>
        </is>
      </c>
      <c r="BA42" t="inlineStr">
        <is>
          <t>IRC-01L5</t>
        </is>
      </c>
      <c r="BB42" t="inlineStr">
        <is>
          <t>E25062</t>
        </is>
      </c>
      <c r="BI42" t="inlineStr">
        <is>
          <t>E836219</t>
        </is>
      </c>
      <c r="BJ42" t="inlineStr">
        <is>
          <t>ENCABEÇAR RD BT NO PG: E836219 E ENERGIZAR OBRA.</t>
        </is>
      </c>
      <c r="BK42" t="inlineStr">
        <is>
          <t>REVISADO APÓS ANÁLISE</t>
        </is>
      </c>
    </row>
    <row r="43">
      <c r="A43" t="inlineStr">
        <is>
          <t>9102346633</t>
        </is>
      </c>
      <c r="B43" t="inlineStr">
        <is>
          <t>B-1229034</t>
        </is>
      </c>
      <c r="E43" t="inlineStr">
        <is>
          <t>ER-CIND-POV-TRAVESSAO-RURAL-SAO GABRIEL</t>
        </is>
      </c>
      <c r="F43" t="inlineStr">
        <is>
          <t>SÃO GABRIEL</t>
        </is>
      </c>
      <c r="G43" t="inlineStr">
        <is>
          <t>RETIRADA DA CARTEIRA</t>
        </is>
      </c>
      <c r="H43" t="inlineStr">
        <is>
          <t>RETIRADA DA CARTEIRA POR RESTRIÇÃO AMBIENTAL, E-MAIL 29/10</t>
        </is>
      </c>
      <c r="I43" t="inlineStr">
        <is>
          <t>VANILSON LUCIO DOS SANTOS SILVA - NTS368534</t>
        </is>
      </c>
      <c r="J43" t="inlineStr">
        <is>
          <t>DJALMA RIOS DA CRUZ - NTS411576</t>
        </is>
      </c>
      <c r="K43" t="inlineStr">
        <is>
          <t>FLAVIO ALMEIDA DOS ANJOS - U468839</t>
        </is>
      </c>
      <c r="L43" t="inlineStr">
        <is>
          <t>PLANO 7</t>
        </is>
      </c>
      <c r="M43" t="inlineStr">
        <is>
          <t>QLP</t>
        </is>
      </c>
      <c r="N43" t="inlineStr">
        <is>
          <t>21/10/25</t>
        </is>
      </c>
      <c r="O43" t="inlineStr">
        <is>
          <t xml:space="preserve">MONTAR ESTRUTURA N3 CONFORME PROJETO. </t>
        </is>
      </c>
      <c r="P43" t="inlineStr">
        <is>
          <t>22/10/25</t>
        </is>
      </c>
      <c r="Q43" t="inlineStr">
        <is>
          <t>27/10/25</t>
        </is>
      </c>
      <c r="X43" t="inlineStr">
        <is>
          <t>N/A</t>
        </is>
      </c>
      <c r="AA43" t="inlineStr">
        <is>
          <t>1040725</t>
        </is>
      </c>
      <c r="AB43" t="inlineStr">
        <is>
          <t>E894906 AO E894928</t>
        </is>
      </c>
      <c r="AC43" t="inlineStr">
        <is>
          <t>3</t>
        </is>
      </c>
      <c r="AE43" t="inlineStr">
        <is>
          <t>23</t>
        </is>
      </c>
      <c r="AH43" t="inlineStr">
        <is>
          <t>0</t>
        </is>
      </c>
      <c r="AI43" t="inlineStr">
        <is>
          <t>0%</t>
        </is>
      </c>
      <c r="AP43" t="inlineStr">
        <is>
          <t>B712640</t>
        </is>
      </c>
      <c r="AQ43" t="inlineStr">
        <is>
          <t>-10.971534</t>
        </is>
      </c>
      <c r="AR43" t="inlineStr">
        <is>
          <t>-41.542373</t>
        </is>
      </c>
      <c r="AS43" t="inlineStr">
        <is>
          <t>R$ 199.845,89</t>
        </is>
      </c>
      <c r="AT43" t="inlineStr">
        <is>
          <t>R$ 72.539,80</t>
        </is>
      </c>
      <c r="AU43" t="inlineStr">
        <is>
          <t>2293</t>
        </is>
      </c>
      <c r="BA43" t="inlineStr">
        <is>
          <t>IRC-01L4</t>
        </is>
      </c>
      <c r="BB43" t="inlineStr">
        <is>
          <t>G36251</t>
        </is>
      </c>
      <c r="BI43" t="inlineStr">
        <is>
          <t>B712640</t>
        </is>
      </c>
      <c r="BJ43" t="inlineStr">
        <is>
          <t>MONTAR BANCADA COM N3 NO PG: B712640, FECHAR CHAVE NOVA PRÓXIMO AO PG: B712640 E ENERGIZAR OBRA.</t>
        </is>
      </c>
    </row>
    <row r="44">
      <c r="A44" t="inlineStr">
        <is>
          <t>9102346638</t>
        </is>
      </c>
      <c r="B44" t="inlineStr">
        <is>
          <t>B-1228726</t>
        </is>
      </c>
      <c r="C44" t="inlineStr">
        <is>
          <t>N/A</t>
        </is>
      </c>
      <c r="D44" t="inlineStr">
        <is>
          <t>N/A</t>
        </is>
      </c>
      <c r="E44" t="inlineStr">
        <is>
          <t>AC-CIND-POV-CAMAROTE-RURAL</t>
        </is>
      </c>
      <c r="F44" t="inlineStr">
        <is>
          <t>UIBAÍ</t>
        </is>
      </c>
      <c r="G44" t="inlineStr">
        <is>
          <t>PROGRAMADA</t>
        </is>
      </c>
      <c r="I44" t="inlineStr">
        <is>
          <t>GIORLAN EVANGELISTA SOUZA - NTS063576</t>
        </is>
      </c>
      <c r="J44" t="inlineStr">
        <is>
          <t>RENATO ALVES DE OLIVEIRA GONCALVES - NTS467500</t>
        </is>
      </c>
      <c r="K44" t="inlineStr">
        <is>
          <t>JARBAS LIMA VIEIRA - U348612</t>
        </is>
      </c>
      <c r="L44" t="inlineStr">
        <is>
          <t>PLANO 7</t>
        </is>
      </c>
      <c r="M44" t="inlineStr">
        <is>
          <t>QLP</t>
        </is>
      </c>
      <c r="N44" t="inlineStr">
        <is>
          <t>07/10/2025</t>
        </is>
      </c>
      <c r="O44" t="inlineStr">
        <is>
          <t>SUBSTITUIR TRAFO CONFORME PROJETO.
INFORMAÇÕES DAS ESTRUTURAS ESTÃO NOS PONTOS.</t>
        </is>
      </c>
      <c r="P44" t="inlineStr">
        <is>
          <t>08/10/25</t>
        </is>
      </c>
      <c r="Q44" t="inlineStr">
        <is>
          <t>27/10/25</t>
        </is>
      </c>
      <c r="S44" t="inlineStr">
        <is>
          <t>C/ DP</t>
        </is>
      </c>
      <c r="T44" t="inlineStr">
        <is>
          <t>N/A</t>
        </is>
      </c>
      <c r="U44" t="inlineStr">
        <is>
          <t>N/A</t>
        </is>
      </c>
      <c r="V44" t="inlineStr">
        <is>
          <t>2025-133519</t>
        </is>
      </c>
      <c r="W44" t="inlineStr">
        <is>
          <t>12/11/2025</t>
        </is>
      </c>
      <c r="X44" t="inlineStr">
        <is>
          <t>2025-133519</t>
        </is>
      </c>
      <c r="Y44" t="inlineStr">
        <is>
          <t>12/11/2025</t>
        </is>
      </c>
      <c r="Z44" t="inlineStr">
        <is>
          <t>APROVADA</t>
        </is>
      </c>
      <c r="AC44" t="inlineStr">
        <is>
          <t>0</t>
        </is>
      </c>
      <c r="AD44" t="inlineStr">
        <is>
          <t>0</t>
        </is>
      </c>
      <c r="AE44" t="inlineStr">
        <is>
          <t>0</t>
        </is>
      </c>
      <c r="AH44" t="inlineStr">
        <is>
          <t>0</t>
        </is>
      </c>
      <c r="AI44" t="inlineStr">
        <is>
          <t>0%</t>
        </is>
      </c>
      <c r="AJ44" t="inlineStr">
        <is>
          <t>100,00%</t>
        </is>
      </c>
      <c r="AK44" t="inlineStr">
        <is>
          <t>12/11/2025</t>
        </is>
      </c>
      <c r="AL44" t="inlineStr">
        <is>
          <t>12/11/2025</t>
        </is>
      </c>
      <c r="AP44" t="inlineStr">
        <is>
          <t>E247084</t>
        </is>
      </c>
      <c r="AQ44" t="inlineStr">
        <is>
          <t>-11,355628</t>
        </is>
      </c>
      <c r="AR44" t="inlineStr">
        <is>
          <t>-42,108336</t>
        </is>
      </c>
      <c r="AS44" t="inlineStr">
        <is>
          <t>R$ 25.239,01</t>
        </is>
      </c>
      <c r="AT44" t="inlineStr">
        <is>
          <t>R$ 2.967,69</t>
        </is>
      </c>
      <c r="AU44" t="inlineStr">
        <is>
          <t>2338</t>
        </is>
      </c>
      <c r="BA44" t="inlineStr">
        <is>
          <t>IRC-01L6</t>
        </is>
      </c>
      <c r="BB44" t="inlineStr">
        <is>
          <t>V18592</t>
        </is>
      </c>
      <c r="BI44" t="inlineStr">
        <is>
          <t>E247082</t>
        </is>
      </c>
      <c r="BJ44" t="inlineStr">
        <is>
          <t>ABRIR CHAVE: V18592 PARA SUBSTITUIR TRAFO V18593 POR TRAFO DE 30KVA, RECONDUTORAMENTO BT DO PG: E247082 AO E247084 E ENERGIZAR OBRA.</t>
        </is>
      </c>
      <c r="BK44" t="inlineStr">
        <is>
          <t>REVISADO APÓS ANÁLISE</t>
        </is>
      </c>
    </row>
    <row r="45">
      <c r="A45" t="inlineStr">
        <is>
          <t>9102346624</t>
        </is>
      </c>
      <c r="B45" t="inlineStr">
        <is>
          <t>B-1228821</t>
        </is>
      </c>
      <c r="C45" t="inlineStr">
        <is>
          <t>N/A</t>
        </is>
      </c>
      <c r="D45" t="inlineStr">
        <is>
          <t>N/A</t>
        </is>
      </c>
      <c r="E45" t="inlineStr">
        <is>
          <t>ER-CIND-POV-HIDROLANDIA-RURAL</t>
        </is>
      </c>
      <c r="F45" t="inlineStr">
        <is>
          <t>UIBAÍ</t>
        </is>
      </c>
      <c r="G45" t="inlineStr">
        <is>
          <t>ENERGIZADA</t>
        </is>
      </c>
      <c r="I45" t="inlineStr">
        <is>
          <t>GIORLAN EVANGELISTA SOUZA - NTS063576</t>
        </is>
      </c>
      <c r="J45" t="inlineStr">
        <is>
          <t>RENATO ALVES DE OLIVEIRA GONCALVES - NTS467500</t>
        </is>
      </c>
      <c r="K45" t="inlineStr">
        <is>
          <t>JARBAS LIMA VIEIRA - U348612</t>
        </is>
      </c>
      <c r="L45" t="inlineStr">
        <is>
          <t>PLANO 7</t>
        </is>
      </c>
      <c r="M45" t="inlineStr">
        <is>
          <t>JUDICIAL</t>
        </is>
      </c>
      <c r="N45" t="inlineStr">
        <is>
          <t>07/10/2025</t>
        </is>
      </c>
      <c r="O45" t="inlineStr">
        <is>
          <t xml:space="preserve">ALTERAR DERIVAÇÃO. </t>
        </is>
      </c>
      <c r="P45" t="inlineStr">
        <is>
          <t>08/10/25</t>
        </is>
      </c>
      <c r="Q45" t="inlineStr">
        <is>
          <t>27/10/25</t>
        </is>
      </c>
      <c r="S45" t="inlineStr">
        <is>
          <t>N/A</t>
        </is>
      </c>
      <c r="T45" t="inlineStr">
        <is>
          <t>N/A</t>
        </is>
      </c>
      <c r="U45" t="inlineStr">
        <is>
          <t>N/A</t>
        </is>
      </c>
      <c r="V45" t="inlineStr">
        <is>
          <t>2025-136935</t>
        </is>
      </c>
      <c r="W45" t="inlineStr">
        <is>
          <t>01/12/2025</t>
        </is>
      </c>
      <c r="X45" t="inlineStr">
        <is>
          <t>N/A</t>
        </is>
      </c>
      <c r="AA45" t="inlineStr">
        <is>
          <t>1040714</t>
        </is>
      </c>
      <c r="AB45" t="inlineStr">
        <is>
          <t>E894779 AO E894783
E811260</t>
        </is>
      </c>
      <c r="AC45" t="inlineStr">
        <is>
          <t>2</t>
        </is>
      </c>
      <c r="AD45" t="inlineStr">
        <is>
          <t>0</t>
        </is>
      </c>
      <c r="AE45" t="inlineStr">
        <is>
          <t>6</t>
        </is>
      </c>
      <c r="AF45" t="inlineStr">
        <is>
          <t>6</t>
        </is>
      </c>
      <c r="AG45" t="inlineStr">
        <is>
          <t>6</t>
        </is>
      </c>
      <c r="AH45" t="inlineStr">
        <is>
          <t>0</t>
        </is>
      </c>
      <c r="AI45" t="inlineStr">
        <is>
          <t>100%</t>
        </is>
      </c>
      <c r="AJ45" t="inlineStr">
        <is>
          <t>100,00%</t>
        </is>
      </c>
      <c r="AK45" t="inlineStr">
        <is>
          <t>03/11/2025</t>
        </is>
      </c>
      <c r="AL45" t="inlineStr">
        <is>
          <t>05/11/2025</t>
        </is>
      </c>
      <c r="AN45" t="inlineStr">
        <is>
          <t>04/11/25</t>
        </is>
      </c>
      <c r="AO45" t="inlineStr">
        <is>
          <t>2025-11-8437</t>
        </is>
      </c>
      <c r="AP45" t="inlineStr">
        <is>
          <t>Q185412</t>
        </is>
      </c>
      <c r="AQ45" t="inlineStr">
        <is>
          <t>-11,249115</t>
        </is>
      </c>
      <c r="AR45" t="inlineStr">
        <is>
          <t>-42,164449</t>
        </is>
      </c>
      <c r="AS45" t="inlineStr">
        <is>
          <t>R$ 26.052,70</t>
        </is>
      </c>
      <c r="AT45" t="inlineStr">
        <is>
          <t>R$ 10.917,06</t>
        </is>
      </c>
      <c r="AU45" t="inlineStr">
        <is>
          <t>2338</t>
        </is>
      </c>
      <c r="BA45" t="inlineStr">
        <is>
          <t>IRC-01L6</t>
        </is>
      </c>
      <c r="BB45" t="inlineStr">
        <is>
          <t>J12229</t>
        </is>
      </c>
      <c r="BI45" t="inlineStr">
        <is>
          <t>Q185414</t>
        </is>
      </c>
      <c r="BJ45" t="inlineStr">
        <is>
          <t>ENCABEÇAR RD BT NO PG: Q185414 E ENERGIZAR OBRA.</t>
        </is>
      </c>
      <c r="BK45" t="inlineStr">
        <is>
          <t>REVISADO APÓS ANÁLISE</t>
        </is>
      </c>
    </row>
    <row r="46">
      <c r="A46" t="inlineStr">
        <is>
          <t>9102142201</t>
        </is>
      </c>
      <c r="B46" t="inlineStr">
        <is>
          <t>B-1171167</t>
        </is>
      </c>
      <c r="E46" t="inlineStr">
        <is>
          <t>ER-CIND-ET-XIQUE-XIQUE A BARRA-RURAL</t>
        </is>
      </c>
      <c r="F46" t="inlineStr">
        <is>
          <t>XIQUE-XIQUE</t>
        </is>
      </c>
      <c r="G46" t="inlineStr">
        <is>
          <t>PROGRAMADA</t>
        </is>
      </c>
      <c r="H46" t="inlineStr">
        <is>
          <t>SUBSTITUIR POSTS BT E RELOCAR TRAFOEXISTENTE PARA PONTO 04, E INTSLAR TRAFO 75 KVA EXCLUSIVO PRA ATENDER USINA</t>
        </is>
      </c>
      <c r="I46" t="inlineStr">
        <is>
          <t>ESMERALDO DOS SANTOS OLIVEIRA - NTS551535</t>
        </is>
      </c>
      <c r="J46" t="inlineStr">
        <is>
          <t>RENATO ALVES DE OLIVEIRA GONCALVES - NTS467500</t>
        </is>
      </c>
      <c r="K46" t="inlineStr">
        <is>
          <t xml:space="preserve">JOSE EDUARDO - U468835 </t>
        </is>
      </c>
      <c r="L46" t="inlineStr">
        <is>
          <t>PLANO 7</t>
        </is>
      </c>
      <c r="M46" t="inlineStr">
        <is>
          <t>QLP
OBRAS SIMPLIFICADAS</t>
        </is>
      </c>
      <c r="N46" t="inlineStr">
        <is>
          <t>15/10/2025</t>
        </is>
      </c>
      <c r="O46" t="inlineStr">
        <is>
          <t>OBRA APITAR PARA CONSTRUÇÃO.</t>
        </is>
      </c>
      <c r="S46" t="inlineStr">
        <is>
          <t>2025-137815</t>
        </is>
      </c>
      <c r="T46" t="inlineStr">
        <is>
          <t>01/12/2025</t>
        </is>
      </c>
      <c r="U46" t="inlineStr">
        <is>
          <t>2025-137819</t>
        </is>
      </c>
      <c r="V46" t="inlineStr">
        <is>
          <t>2025-133364</t>
        </is>
      </c>
      <c r="W46" t="inlineStr">
        <is>
          <t>01/12/2025</t>
        </is>
      </c>
      <c r="Z46" t="inlineStr">
        <is>
          <t>CANCELADA</t>
        </is>
      </c>
      <c r="AA46" t="inlineStr">
        <is>
          <t>1040689</t>
        </is>
      </c>
      <c r="AB46" t="inlineStr">
        <is>
          <t>E894471 AO E894475</t>
        </is>
      </c>
      <c r="AC46" t="inlineStr">
        <is>
          <t>1</t>
        </is>
      </c>
      <c r="AE46" t="inlineStr">
        <is>
          <t>5</t>
        </is>
      </c>
      <c r="AH46" t="inlineStr">
        <is>
          <t>0</t>
        </is>
      </c>
      <c r="AI46" t="inlineStr">
        <is>
          <t>0%</t>
        </is>
      </c>
      <c r="AJ46" t="inlineStr">
        <is>
          <t>100,00%</t>
        </is>
      </c>
      <c r="AP46" t="inlineStr">
        <is>
          <t>R073268</t>
        </is>
      </c>
      <c r="AQ46" t="inlineStr">
        <is>
          <t>-10,844978</t>
        </is>
      </c>
      <c r="AR46" t="inlineStr">
        <is>
          <t>-42,736844</t>
        </is>
      </c>
      <c r="AS46" t="inlineStr">
        <is>
          <t>R$ 62.580,11</t>
        </is>
      </c>
      <c r="AT46" t="inlineStr">
        <is>
          <t>R$ 12.044,25</t>
        </is>
      </c>
      <c r="AU46" t="inlineStr">
        <is>
          <t>2287</t>
        </is>
      </c>
      <c r="BA46" t="inlineStr">
        <is>
          <t>XIQ-01M3</t>
        </is>
      </c>
      <c r="BB46" t="inlineStr">
        <is>
          <t>J16428</t>
        </is>
      </c>
      <c r="BI46" t="inlineStr">
        <is>
          <t>R073268</t>
        </is>
      </c>
      <c r="BJ46" t="inlineStr">
        <is>
          <t>INSTALAR BANCADA C/ N3 NO PG: E298925 E ENERGIZAR OBRA.</t>
        </is>
      </c>
      <c r="BK46" t="inlineStr">
        <is>
          <t>.</t>
        </is>
      </c>
    </row>
    <row r="47">
      <c r="A47" t="inlineStr">
        <is>
          <t>9102249202</t>
        </is>
      </c>
      <c r="B47" t="inlineStr">
        <is>
          <t>B-1203929</t>
        </is>
      </c>
      <c r="E47" t="inlineStr">
        <is>
          <t>ER-CIND-ROD- BA 160-XIQUE-XIQUE MOD</t>
        </is>
      </c>
      <c r="F47" t="inlineStr">
        <is>
          <t>XIQUE-XIQUE</t>
        </is>
      </c>
      <c r="G47" t="inlineStr">
        <is>
          <t>RETIRADA DA CARTEIRA</t>
        </is>
      </c>
      <c r="J47" t="inlineStr">
        <is>
          <t>#N/A</t>
        </is>
      </c>
      <c r="K47" t="inlineStr">
        <is>
          <t xml:space="preserve">JOSE EDUARDO - U468835 </t>
        </is>
      </c>
      <c r="L47" t="inlineStr">
        <is>
          <t>PLANO 7</t>
        </is>
      </c>
      <c r="M47" t="inlineStr">
        <is>
          <t>QLP</t>
        </is>
      </c>
      <c r="N47" t="inlineStr">
        <is>
          <t>15/10/2025</t>
        </is>
      </c>
      <c r="O47" t="inlineStr">
        <is>
          <t>OBRA APITAR PARA CONSTRUÇÃO.
NA DERIVAÇÃO EXISTE UM DECLINIO DE UMA TRAVECIA DE BA.NO GEOEX NÃO TEM PROJETO DE TRAVESIA.</t>
        </is>
      </c>
      <c r="AA47" t="inlineStr">
        <is>
          <t>1040695</t>
        </is>
      </c>
      <c r="AB47" t="inlineStr">
        <is>
          <t>E894541 AO E894546</t>
        </is>
      </c>
      <c r="AC47" t="inlineStr">
        <is>
          <t>1</t>
        </is>
      </c>
      <c r="AE47" t="inlineStr">
        <is>
          <t>6</t>
        </is>
      </c>
      <c r="AH47" t="inlineStr">
        <is>
          <t>0</t>
        </is>
      </c>
      <c r="AI47" t="inlineStr">
        <is>
          <t>0%</t>
        </is>
      </c>
      <c r="AP47" t="inlineStr">
        <is>
          <t>B967463</t>
        </is>
      </c>
      <c r="AQ47" t="inlineStr">
        <is>
          <t>-11,088414</t>
        </is>
      </c>
      <c r="AR47" t="inlineStr">
        <is>
          <t>-43,106992</t>
        </is>
      </c>
      <c r="AS47" t="inlineStr">
        <is>
          <t>R$ 129.146,66</t>
        </is>
      </c>
      <c r="AU47" t="inlineStr">
        <is>
          <t>#N/A</t>
        </is>
      </c>
      <c r="BA47" t="inlineStr">
        <is>
          <t>BRR-01C2</t>
        </is>
      </c>
      <c r="BB47" t="inlineStr">
        <is>
          <t>V00204</t>
        </is>
      </c>
      <c r="BI47" t="inlineStr">
        <is>
          <t>B967463</t>
        </is>
      </c>
      <c r="BJ47" t="inlineStr">
        <is>
          <t>INTERCALAR POSTE AT COM CE1-N3 ENTRE OS PG: B967463 - B967462, FECHAR CHAVE NOVA PRÓXIMO AO PG: B967463  E ENERGIZAR OBRA.</t>
        </is>
      </c>
      <c r="BK47" t="inlineStr">
        <is>
          <t>.</t>
        </is>
      </c>
    </row>
    <row r="48">
      <c r="A48" t="inlineStr">
        <is>
          <t>9102254627</t>
        </is>
      </c>
      <c r="B48" t="inlineStr">
        <is>
          <t>B-1199912</t>
        </is>
      </c>
      <c r="C48" t="inlineStr">
        <is>
          <t>N/A</t>
        </is>
      </c>
      <c r="D48" t="inlineStr">
        <is>
          <t>N/A</t>
        </is>
      </c>
      <c r="E48" t="inlineStr">
        <is>
          <t>GD-9102254627-XIQ-09V1</t>
        </is>
      </c>
      <c r="F48" t="inlineStr">
        <is>
          <t>XIQUE-XIQUE</t>
        </is>
      </c>
      <c r="G48" t="inlineStr">
        <is>
          <t>CANCELADA</t>
        </is>
      </c>
      <c r="H48" t="inlineStr">
        <is>
          <t xml:space="preserve">SEM MAGNÉTICO </t>
        </is>
      </c>
      <c r="I48" t="inlineStr">
        <is>
          <t>ESMERALDO DOS SANTOS OLIVEIRA - NTS551535</t>
        </is>
      </c>
      <c r="J48" t="inlineStr">
        <is>
          <t>RENATO ALVES DE OLIVEIRA GONCALVES - NTS467500</t>
        </is>
      </c>
      <c r="K48" t="inlineStr">
        <is>
          <t xml:space="preserve">JOSE EDUARDO - U468835 </t>
        </is>
      </c>
      <c r="L48" t="inlineStr">
        <is>
          <t>PLANO 7</t>
        </is>
      </c>
      <c r="M48" t="inlineStr">
        <is>
          <t>QLP</t>
        </is>
      </c>
      <c r="S48" t="inlineStr">
        <is>
          <t>S/ MAGNÉTICO</t>
        </is>
      </c>
      <c r="U48" t="inlineStr">
        <is>
          <t>N/A</t>
        </is>
      </c>
      <c r="V48" t="inlineStr">
        <is>
          <t>S/ MAGNÉTICO</t>
        </is>
      </c>
      <c r="AC48" t="inlineStr">
        <is>
          <t>0</t>
        </is>
      </c>
      <c r="AD48" t="inlineStr">
        <is>
          <t>0</t>
        </is>
      </c>
      <c r="AE48" t="inlineStr">
        <is>
          <t>0</t>
        </is>
      </c>
      <c r="AH48" t="inlineStr">
        <is>
          <t>0</t>
        </is>
      </c>
      <c r="AI48" t="inlineStr">
        <is>
          <t>0%</t>
        </is>
      </c>
      <c r="AU48" t="inlineStr">
        <is>
          <t>2287</t>
        </is>
      </c>
      <c r="BK48" t="inlineStr">
        <is>
          <t>.</t>
        </is>
      </c>
    </row>
    <row r="49">
      <c r="A49" t="inlineStr">
        <is>
          <t>9102349100</t>
        </is>
      </c>
      <c r="B49" t="inlineStr">
        <is>
          <t>B-1228600</t>
        </is>
      </c>
      <c r="E49" t="inlineStr">
        <is>
          <t>IS-COEL-AV-ALMERINDO PORTUGAL-CENTRO</t>
        </is>
      </c>
      <c r="F49" t="inlineStr">
        <is>
          <t>CAFARNAUM</t>
        </is>
      </c>
      <c r="G49" t="inlineStr">
        <is>
          <t>RETIRADA DA CARTEIRA</t>
        </is>
      </c>
      <c r="H49" t="inlineStr">
        <is>
          <t>RETIRADA DA CARTEIRA - EMAIL 16/10</t>
        </is>
      </c>
      <c r="J49" t="inlineStr">
        <is>
          <t>#N/A</t>
        </is>
      </c>
      <c r="K49" t="inlineStr">
        <is>
          <t>MANOEL MESSIAS ALENCAR - U359765</t>
        </is>
      </c>
      <c r="L49" t="inlineStr">
        <is>
          <t>PLANO 8</t>
        </is>
      </c>
      <c r="M49" t="inlineStr">
        <is>
          <t>GOVERNO</t>
        </is>
      </c>
      <c r="N49" t="inlineStr">
        <is>
          <t>15/10/25</t>
        </is>
      </c>
      <c r="O49" t="inlineStr">
        <is>
          <t>A OBRA DIVERGE CAMPO X PROJETO.</t>
        </is>
      </c>
      <c r="AE49" t="inlineStr">
        <is>
          <t>3</t>
        </is>
      </c>
      <c r="AH49" t="inlineStr">
        <is>
          <t>0</t>
        </is>
      </c>
      <c r="AI49" t="inlineStr">
        <is>
          <t>0%</t>
        </is>
      </c>
      <c r="AP49" t="inlineStr">
        <is>
          <t>Q124804</t>
        </is>
      </c>
      <c r="AQ49" t="inlineStr">
        <is>
          <t>-11,703590</t>
        </is>
      </c>
      <c r="AR49" t="inlineStr">
        <is>
          <t>-41,470328</t>
        </is>
      </c>
      <c r="AS49" t="inlineStr">
        <is>
          <t>R$ 57.150,07</t>
        </is>
      </c>
      <c r="AT49" t="inlineStr">
        <is>
          <t>R$ 23.667,99</t>
        </is>
      </c>
      <c r="AU49" t="inlineStr">
        <is>
          <t>#N/A</t>
        </is>
      </c>
    </row>
    <row r="50">
      <c r="A50" t="inlineStr">
        <is>
          <t>9101929856</t>
        </is>
      </c>
      <c r="B50" t="inlineStr">
        <is>
          <t>B-1090711</t>
        </is>
      </c>
      <c r="E50" t="inlineStr">
        <is>
          <t>IS-COEL-RUA-JOSE GONCALVES-CENTRO</t>
        </is>
      </c>
      <c r="F50" t="inlineStr">
        <is>
          <t>CAFARNAUM</t>
        </is>
      </c>
      <c r="G50" t="inlineStr">
        <is>
          <t>RETIRADA DA CARTEIRA</t>
        </is>
      </c>
      <c r="H50" t="inlineStr">
        <is>
          <t>RETIRADA DA CARTEIRA - EMAIL 16/10</t>
        </is>
      </c>
      <c r="J50" t="inlineStr">
        <is>
          <t>#N/A</t>
        </is>
      </c>
      <c r="K50" t="inlineStr">
        <is>
          <t>MANOEL MESSIAS ALENCAR - U359765</t>
        </is>
      </c>
      <c r="L50" t="inlineStr">
        <is>
          <t>PLANO 8</t>
        </is>
      </c>
      <c r="M50" t="inlineStr">
        <is>
          <t>INTERV SEGURANÇA</t>
        </is>
      </c>
      <c r="N50" t="inlineStr">
        <is>
          <t>15/10/2025</t>
        </is>
      </c>
      <c r="O50" t="inlineStr">
        <is>
          <t xml:space="preserve">SUBSTITUIR POSTES CONFORME PROJETO. INSTALANDO NO POSTE Q122253 B1-B3. PARA LIVRAR A VARANDA. E NO POSTE Q122252 MONTAR B4. </t>
        </is>
      </c>
      <c r="AE50" t="inlineStr">
        <is>
          <t>2</t>
        </is>
      </c>
      <c r="AH50" t="inlineStr">
        <is>
          <t>0</t>
        </is>
      </c>
      <c r="AI50" t="inlineStr">
        <is>
          <t>0%</t>
        </is>
      </c>
      <c r="AP50" t="inlineStr">
        <is>
          <t>Q122252</t>
        </is>
      </c>
      <c r="AQ50" t="inlineStr">
        <is>
          <t>-11,691543</t>
        </is>
      </c>
      <c r="AR50" t="inlineStr">
        <is>
          <t>-41,468158</t>
        </is>
      </c>
      <c r="AS50" t="inlineStr">
        <is>
          <t>R$ 16.869,19</t>
        </is>
      </c>
      <c r="AT50" t="inlineStr">
        <is>
          <t>R$ 8.024,34</t>
        </is>
      </c>
      <c r="AU50" t="inlineStr">
        <is>
          <t>#N/A</t>
        </is>
      </c>
    </row>
    <row r="51">
      <c r="A51" t="inlineStr">
        <is>
          <t>9101734461</t>
        </is>
      </c>
      <c r="B51" t="inlineStr">
        <is>
          <t>B-1011861</t>
        </is>
      </c>
      <c r="E51" t="inlineStr">
        <is>
          <t>IS-COEL-FAZ-SUELI-RURAL</t>
        </is>
      </c>
      <c r="F51" t="inlineStr">
        <is>
          <t>CANARANA</t>
        </is>
      </c>
      <c r="G51" t="inlineStr">
        <is>
          <t>PROGRAMADA</t>
        </is>
      </c>
      <c r="H51" t="inlineStr">
        <is>
          <t>SUBSTITUIR POSTES BT</t>
        </is>
      </c>
      <c r="I51" t="inlineStr">
        <is>
          <t>IRISMAR MARQUES SILVA - NTS493543</t>
        </is>
      </c>
      <c r="J51" t="inlineStr">
        <is>
          <t>HIAGO DE CIRQUEIRA PEREIRA - NTS449580</t>
        </is>
      </c>
      <c r="K51" t="inlineStr">
        <is>
          <t>MANOEL MESSIAS ALENCAR - U359765</t>
        </is>
      </c>
      <c r="L51" t="inlineStr">
        <is>
          <t>PLANO 8</t>
        </is>
      </c>
      <c r="M51" t="inlineStr">
        <is>
          <t>INTERV SEGURANÇA</t>
        </is>
      </c>
      <c r="N51" t="inlineStr">
        <is>
          <t>15/10/2025</t>
        </is>
      </c>
      <c r="O51" t="inlineStr">
        <is>
          <t>MONTAR ESTRUTURA B3 NO PG B696749. EM CAMPO JA É N1, MONTAR ESTRUTURAS BECO. PA REDE VAI PASSAR EM FRENTE A LOTES DE CASAS E MUROS JA PRONTOS</t>
        </is>
      </c>
      <c r="P51" t="inlineStr">
        <is>
          <t>20/10/25</t>
        </is>
      </c>
      <c r="Q51" t="inlineStr">
        <is>
          <t>27/10/25</t>
        </is>
      </c>
      <c r="S51" t="inlineStr">
        <is>
          <t>C/ DP</t>
        </is>
      </c>
      <c r="T51" t="inlineStr">
        <is>
          <t>N/A</t>
        </is>
      </c>
      <c r="U51" t="inlineStr">
        <is>
          <t>2025-134479</t>
        </is>
      </c>
      <c r="V51" t="inlineStr">
        <is>
          <t>2025-134488</t>
        </is>
      </c>
      <c r="W51" t="inlineStr">
        <is>
          <t>18/11/2025</t>
        </is>
      </c>
      <c r="X51" t="inlineStr">
        <is>
          <t>2025-134488</t>
        </is>
      </c>
      <c r="Y51" t="inlineStr">
        <is>
          <t>18/11/2025</t>
        </is>
      </c>
      <c r="Z51" t="inlineStr">
        <is>
          <t>APROVADA</t>
        </is>
      </c>
      <c r="AA51" t="inlineStr">
        <is>
          <t>1041326</t>
        </is>
      </c>
      <c r="AB51" t="inlineStr">
        <is>
          <t>E898309 AO E898318</t>
        </is>
      </c>
      <c r="AC51" t="inlineStr">
        <is>
          <t>0</t>
        </is>
      </c>
      <c r="AD51" t="inlineStr">
        <is>
          <t>0</t>
        </is>
      </c>
      <c r="AE51" t="inlineStr">
        <is>
          <t>11</t>
        </is>
      </c>
      <c r="AH51" t="inlineStr">
        <is>
          <t>11</t>
        </is>
      </c>
      <c r="AI51" t="inlineStr">
        <is>
          <t>0%</t>
        </is>
      </c>
      <c r="AJ51" t="inlineStr">
        <is>
          <t>100,00%</t>
        </is>
      </c>
      <c r="AK51" t="inlineStr">
        <is>
          <t>14/11/2025</t>
        </is>
      </c>
      <c r="AL51" t="inlineStr">
        <is>
          <t>18/11/2025</t>
        </is>
      </c>
      <c r="AP51" t="inlineStr">
        <is>
          <t>B696749</t>
        </is>
      </c>
      <c r="AQ51" t="inlineStr">
        <is>
          <t>-11.701598</t>
        </is>
      </c>
      <c r="AR51" t="inlineStr">
        <is>
          <t>-41.759803</t>
        </is>
      </c>
      <c r="AS51" t="inlineStr">
        <is>
          <t>R$ 45.896,49</t>
        </is>
      </c>
      <c r="AT51" t="inlineStr">
        <is>
          <t>R$ 19.527,71</t>
        </is>
      </c>
      <c r="AU51" t="inlineStr">
        <is>
          <t>2290</t>
        </is>
      </c>
      <c r="BA51" t="inlineStr">
        <is>
          <t>IBB-01Y8</t>
        </is>
      </c>
      <c r="BB51" t="inlineStr">
        <is>
          <t>J17062</t>
        </is>
      </c>
      <c r="BI51" t="inlineStr">
        <is>
          <t xml:space="preserve">Q131851 </t>
        </is>
      </c>
      <c r="BJ51" t="inlineStr">
        <is>
          <t>DESATIVAR RD MT DO PG: Q131851 AO Q131854</t>
        </is>
      </c>
      <c r="BK51" t="inlineStr">
        <is>
          <t>REVISADO APÓS ANÁLISE</t>
        </is>
      </c>
    </row>
    <row r="52">
      <c r="A52" t="inlineStr">
        <is>
          <t>9101889607</t>
        </is>
      </c>
      <c r="B52" t="inlineStr">
        <is>
          <t>B-1069170</t>
        </is>
      </c>
      <c r="E52" t="inlineStr">
        <is>
          <t>IS-COEL-AV-ANTONIO CARLOS MAGALHA-CENTRO</t>
        </is>
      </c>
      <c r="F52" t="inlineStr">
        <is>
          <t>MORRO DO CHAPÉU</t>
        </is>
      </c>
      <c r="G52" t="inlineStr">
        <is>
          <t>RETIRADA DA CARTEIRA</t>
        </is>
      </c>
      <c r="H52" t="inlineStr">
        <is>
          <t>RETIRADA DA CARTEIRA - EMAIL 16/10</t>
        </is>
      </c>
      <c r="J52" t="inlineStr">
        <is>
          <t>#N/A</t>
        </is>
      </c>
      <c r="K52" t="inlineStr">
        <is>
          <t>JOSE ANTONIO SIMAS NETO - U349485</t>
        </is>
      </c>
      <c r="L52" t="inlineStr">
        <is>
          <t>PLANO 8</t>
        </is>
      </c>
      <c r="M52" t="inlineStr">
        <is>
          <t>INTERV SEGURANÇA</t>
        </is>
      </c>
      <c r="N52" t="inlineStr">
        <is>
          <t>16/10/25</t>
        </is>
      </c>
      <c r="O52" t="inlineStr">
        <is>
          <t xml:space="preserve">MONTAR B4 COM CRUZETA L NO POSTE Q151363. CONECTANDO NUA COM XLPE. FLBIT CONECTORES. </t>
        </is>
      </c>
      <c r="AE52" t="inlineStr">
        <is>
          <t>2</t>
        </is>
      </c>
      <c r="AH52" t="inlineStr">
        <is>
          <t>0</t>
        </is>
      </c>
      <c r="AI52" t="inlineStr">
        <is>
          <t>0%</t>
        </is>
      </c>
      <c r="AP52" t="inlineStr">
        <is>
          <t>Q151363</t>
        </is>
      </c>
      <c r="AQ52" t="inlineStr">
        <is>
          <t>-11,552386</t>
        </is>
      </c>
      <c r="AR52" t="inlineStr">
        <is>
          <t>-41,157267</t>
        </is>
      </c>
      <c r="AS52" t="inlineStr">
        <is>
          <t>R$ 22.036,93</t>
        </is>
      </c>
      <c r="AT52" t="inlineStr">
        <is>
          <t>R$ 9.819,58</t>
        </is>
      </c>
      <c r="AU52" t="inlineStr">
        <is>
          <t>#N/A</t>
        </is>
      </c>
    </row>
    <row r="53">
      <c r="A53" t="inlineStr">
        <is>
          <t>9102031104</t>
        </is>
      </c>
      <c r="B53" t="inlineStr">
        <is>
          <t>B-1121804</t>
        </is>
      </c>
      <c r="E53" t="inlineStr">
        <is>
          <t>AL GRUA POV RIO VERDE RURAL</t>
        </is>
      </c>
      <c r="F53" t="inlineStr">
        <is>
          <t>ITAGUAÇU DA BAHIA</t>
        </is>
      </c>
      <c r="G53" t="inlineStr">
        <is>
          <t>PROGRAMADA</t>
        </is>
      </c>
      <c r="H53" t="inlineStr">
        <is>
          <t>ALIMENTADOR SAINDO DA SUBESTAÇÃO  RVD.</t>
        </is>
      </c>
      <c r="I53" t="inlineStr">
        <is>
          <t>ESMERALDO DOS SANTOS OLIVEIRA - NTS551535</t>
        </is>
      </c>
      <c r="J53" t="inlineStr">
        <is>
          <t>RENATO ALVES DE OLIVEIRA GONCALVES - NTS467500</t>
        </is>
      </c>
      <c r="K53" t="inlineStr">
        <is>
          <t xml:space="preserve">JOSE EDUARDO - U468835 </t>
        </is>
      </c>
      <c r="L53" t="inlineStr">
        <is>
          <t>PLANO 7</t>
        </is>
      </c>
      <c r="M53" t="inlineStr">
        <is>
          <t>QLP</t>
        </is>
      </c>
      <c r="N53" t="inlineStr">
        <is>
          <t>23/10/25</t>
        </is>
      </c>
      <c r="O53" t="inlineStr">
        <is>
          <t xml:space="preserve">OBRA COM DIVERSAS DIFICULDADES. NÃO HA ACESSO PARA REMOVER OS POSTES E DA PRIMEIRA N3-3 ATE O POSTE D663312 NECESSITA DE ABRIR ACESSO. 
</t>
        </is>
      </c>
      <c r="S53" t="inlineStr">
        <is>
          <t>AVALIAR</t>
        </is>
      </c>
      <c r="U53" t="inlineStr">
        <is>
          <t>N/A</t>
        </is>
      </c>
      <c r="V53" t="inlineStr">
        <is>
          <t>2025-133389</t>
        </is>
      </c>
      <c r="W53" t="inlineStr">
        <is>
          <t>01/12/2025</t>
        </is>
      </c>
      <c r="X53" t="inlineStr">
        <is>
          <t>CRIAR</t>
        </is>
      </c>
      <c r="Z53" t="inlineStr">
        <is>
          <t>SOLICITAR</t>
        </is>
      </c>
      <c r="AA53" t="inlineStr">
        <is>
          <t>1041328</t>
        </is>
      </c>
      <c r="AB53" t="inlineStr">
        <is>
          <t>E898319 AO E898390</t>
        </is>
      </c>
      <c r="AC53" t="inlineStr">
        <is>
          <t>0</t>
        </is>
      </c>
      <c r="AD53" t="inlineStr">
        <is>
          <t>0</t>
        </is>
      </c>
      <c r="AE53" t="inlineStr">
        <is>
          <t>72</t>
        </is>
      </c>
      <c r="AH53" t="inlineStr">
        <is>
          <t>0</t>
        </is>
      </c>
      <c r="AI53" t="inlineStr">
        <is>
          <t>0%</t>
        </is>
      </c>
      <c r="AJ53" t="inlineStr">
        <is>
          <t>90,00%</t>
        </is>
      </c>
      <c r="AP53" t="inlineStr">
        <is>
          <t>Q127113</t>
        </is>
      </c>
      <c r="AQ53" t="inlineStr">
        <is>
          <t>-10,981600</t>
        </is>
      </c>
      <c r="AR53" t="inlineStr">
        <is>
          <t>-42,347256</t>
        </is>
      </c>
      <c r="AS53" t="inlineStr">
        <is>
          <t>R$ 1.083.462,31</t>
        </is>
      </c>
      <c r="AT53" t="inlineStr">
        <is>
          <t>R$ 328.271,41</t>
        </is>
      </c>
      <c r="AU53" t="inlineStr">
        <is>
          <t>2287</t>
        </is>
      </c>
      <c r="BA53" t="inlineStr">
        <is>
          <t>RVD-01N1</t>
        </is>
      </c>
      <c r="BB53" t="inlineStr">
        <is>
          <t>J16114</t>
        </is>
      </c>
      <c r="BI53" t="inlineStr">
        <is>
          <t xml:space="preserve">D534189 </t>
        </is>
      </c>
      <c r="BJ53" t="inlineStr">
        <is>
      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      </is>
      </c>
      <c r="BK53" t="inlineStr">
        <is>
          <t>.</t>
        </is>
      </c>
    </row>
    <row r="54">
      <c r="A54" t="inlineStr">
        <is>
          <t>9102078569</t>
        </is>
      </c>
      <c r="B54" t="inlineStr">
        <is>
          <t>B-1140811</t>
        </is>
      </c>
      <c r="E54" t="inlineStr">
        <is>
          <t>ER-CIND-POV-PLANALTO-RURAL</t>
        </is>
      </c>
      <c r="F54" t="inlineStr">
        <is>
          <t>CANARANA</t>
        </is>
      </c>
      <c r="G54" t="inlineStr">
        <is>
          <t>PROGRAMADA</t>
        </is>
      </c>
      <c r="I54" t="inlineStr">
        <is>
          <t>MARCOS PAULO CARDOSO - NTS647589</t>
        </is>
      </c>
      <c r="J54" t="inlineStr">
        <is>
          <t>HIAGO DE CIRQUEIRA PEREIRA - NTS449580</t>
        </is>
      </c>
      <c r="K54" t="inlineStr">
        <is>
          <t>MANOEL MESSIAS ALENCAR - U359765</t>
        </is>
      </c>
      <c r="L54" t="inlineStr">
        <is>
          <t>PLANO 7</t>
        </is>
      </c>
      <c r="M54" t="inlineStr">
        <is>
          <t>QLP</t>
        </is>
      </c>
      <c r="N54" t="inlineStr">
        <is>
          <t>22/10/25</t>
        </is>
      </c>
      <c r="O54" t="inlineStr">
        <is>
          <t>ADICIONAR FASE. INTERCALAR POSTE 12/600 COM FLABIDT +U3 E N1 TRIF.</t>
        </is>
      </c>
      <c r="P54" t="inlineStr">
        <is>
          <t>24/10/25</t>
        </is>
      </c>
      <c r="Q54" t="inlineStr">
        <is>
          <t>27/10/2025</t>
        </is>
      </c>
      <c r="S54" t="inlineStr">
        <is>
          <t>C/ DP</t>
        </is>
      </c>
      <c r="T54" t="inlineStr">
        <is>
          <t>N/A</t>
        </is>
      </c>
      <c r="U54" t="inlineStr">
        <is>
          <t>N/A</t>
        </is>
      </c>
      <c r="V54" t="inlineStr">
        <is>
          <t>2025-134642</t>
        </is>
      </c>
      <c r="W54" t="inlineStr">
        <is>
          <t>01/12/2025</t>
        </is>
      </c>
      <c r="X54" t="inlineStr">
        <is>
          <t>2025-134642</t>
        </is>
      </c>
      <c r="Y54" t="inlineStr">
        <is>
          <t>25/11/2025</t>
        </is>
      </c>
      <c r="Z54" t="inlineStr">
        <is>
          <t>ANÁLISE</t>
        </is>
      </c>
      <c r="AA54" t="inlineStr">
        <is>
          <t>1041330</t>
        </is>
      </c>
      <c r="AB54" t="inlineStr">
        <is>
          <t>E898391 AO E898397</t>
        </is>
      </c>
      <c r="AE54" t="inlineStr">
        <is>
          <t>7</t>
        </is>
      </c>
      <c r="AH54" t="inlineStr">
        <is>
          <t>7</t>
        </is>
      </c>
      <c r="AI54" t="inlineStr">
        <is>
          <t>0%</t>
        </is>
      </c>
      <c r="AJ54" t="inlineStr">
        <is>
          <t>100,00%</t>
        </is>
      </c>
      <c r="AK54" t="inlineStr">
        <is>
          <t>19/11/2025</t>
        </is>
      </c>
      <c r="AL54" t="inlineStr">
        <is>
          <t>27/11/2025</t>
        </is>
      </c>
      <c r="AP54" t="inlineStr">
        <is>
          <t>B464724</t>
        </is>
      </c>
      <c r="AQ54" t="inlineStr">
        <is>
          <t>-11,805420</t>
        </is>
      </c>
      <c r="AR54" t="inlineStr">
        <is>
          <t>-41,738076</t>
        </is>
      </c>
      <c r="AS54" t="inlineStr">
        <is>
          <t>R$ 78.731,36</t>
        </is>
      </c>
      <c r="AT54" t="inlineStr">
        <is>
          <t>R$ 18.559,37</t>
        </is>
      </c>
      <c r="AU54" t="inlineStr">
        <is>
          <t>2336</t>
        </is>
      </c>
      <c r="BA54" t="inlineStr">
        <is>
          <t>MGM-09Z3</t>
        </is>
      </c>
      <c r="BB54" t="inlineStr">
        <is>
          <t>G23544</t>
        </is>
      </c>
      <c r="BI54" t="inlineStr">
        <is>
          <t xml:space="preserve">B464724 </t>
        </is>
      </c>
      <c r="BJ54" t="inlineStr">
        <is>
          <t xml:space="preserve">ABRIR CHAVE G23544 PARA ADICIONAR FASE DO PG: B464724 AO B926493, SUBSTITUIR TRAFO G48556 POR TRAFO DE 30KVA, SUBSTITUIR RD BT DO  PG: B926493 AO B926494, E ENERGIZAR OBRA. </t>
        </is>
      </c>
      <c r="BK54" t="inlineStr">
        <is>
          <t>REVISADO APÓS ANÁLISE</t>
        </is>
      </c>
    </row>
    <row r="55">
      <c r="A55" t="inlineStr">
        <is>
          <t>9102297652</t>
        </is>
      </c>
      <c r="B55" t="inlineStr">
        <is>
          <t>B-1209864</t>
        </is>
      </c>
      <c r="E55" t="inlineStr">
        <is>
          <t>ER-CIND-POV-LAGOA DO AGOSTINHO-RURAL</t>
        </is>
      </c>
      <c r="F55" t="inlineStr">
        <is>
          <t>CAFARNAUM</t>
        </is>
      </c>
      <c r="G55" t="inlineStr">
        <is>
          <t>RETIRADA DA CARTEIRA</t>
        </is>
      </c>
      <c r="H55" t="inlineStr">
        <is>
          <t>OBRA INICIADA POR OUTRA EPS, E-MAIL ENVIADO 23/10</t>
        </is>
      </c>
      <c r="I55" t="inlineStr">
        <is>
          <t>EDILSON DE SOUZA SANTOS - NTS284548</t>
        </is>
      </c>
      <c r="J55" t="inlineStr">
        <is>
          <t>DJALMA RIOS DA CRUZ - NTS411576</t>
        </is>
      </c>
      <c r="K55" t="inlineStr">
        <is>
          <t>MANOEL MESSIAS ALENCAR - U359765</t>
        </is>
      </c>
      <c r="L55" t="inlineStr">
        <is>
          <t>PLANO 7</t>
        </is>
      </c>
      <c r="M55" t="inlineStr">
        <is>
          <t>QLP</t>
        </is>
      </c>
      <c r="N55" t="inlineStr">
        <is>
          <t>22/10/25</t>
        </is>
      </c>
      <c r="O55" t="inlineStr">
        <is>
          <t>JÁ SENDO EXECUTADO  POR OUTRA EPC.</t>
        </is>
      </c>
      <c r="U55" t="inlineStr">
        <is>
          <t>N/A</t>
        </is>
      </c>
      <c r="X55" t="inlineStr">
        <is>
          <t>N/A</t>
        </is>
      </c>
      <c r="AA55" t="inlineStr">
        <is>
          <t>1041333</t>
        </is>
      </c>
      <c r="AB55" t="inlineStr">
        <is>
          <t>E898398 AO E898405</t>
        </is>
      </c>
      <c r="AE55" t="inlineStr">
        <is>
          <t>8</t>
        </is>
      </c>
      <c r="AH55" t="inlineStr">
        <is>
          <t>0</t>
        </is>
      </c>
      <c r="AI55" t="inlineStr">
        <is>
          <t>0%</t>
        </is>
      </c>
      <c r="AP55" t="inlineStr">
        <is>
          <t>B639953</t>
        </is>
      </c>
      <c r="AQ55" t="inlineStr">
        <is>
          <t>-11,738757</t>
        </is>
      </c>
      <c r="AR55" t="inlineStr">
        <is>
          <t>-41,518414</t>
        </is>
      </c>
      <c r="AS55" t="inlineStr">
        <is>
          <t>R$ 86.912,94</t>
        </is>
      </c>
      <c r="AT55" t="inlineStr">
        <is>
          <t>R$ 17.474,60</t>
        </is>
      </c>
      <c r="BA55" t="inlineStr">
        <is>
          <t>MGM-09Z5</t>
        </is>
      </c>
      <c r="BB55" t="inlineStr">
        <is>
          <t>G58479</t>
        </is>
      </c>
      <c r="BI55" t="inlineStr">
        <is>
          <t xml:space="preserve">B639954 </t>
        </is>
      </c>
      <c r="BJ55" t="inlineStr">
        <is>
          <t>INTERCALAR POSTE AT COM N1 E TRAFO ENTRE OS PG: B639954 - B639953, FECHAR CHAVE NOVA PRÓXIMO AO PG: B639953 E ENERGIZAR OBRA.</t>
        </is>
      </c>
      <c r="BK55" t="inlineStr">
        <is>
          <t>.</t>
        </is>
      </c>
    </row>
    <row r="56">
      <c r="A56" t="inlineStr">
        <is>
          <t>9102153430</t>
        </is>
      </c>
      <c r="B56" t="inlineStr">
        <is>
          <t>B-1182565</t>
        </is>
      </c>
      <c r="E56" t="inlineStr">
        <is>
          <t>AC-COEL-RUA-ANTERO VIEIRA-CENTRO</t>
        </is>
      </c>
      <c r="F56" t="inlineStr">
        <is>
          <t>IBIPEBA</t>
        </is>
      </c>
      <c r="G56" t="inlineStr">
        <is>
          <t>PROGRAMADA</t>
        </is>
      </c>
      <c r="H56" t="inlineStr">
        <is>
          <t xml:space="preserve">MELHORAMENTO EM UM ALIMENTADOR </t>
        </is>
      </c>
      <c r="I56" t="inlineStr">
        <is>
          <t>MARCOS PAULO CARDOSO - NTS647589</t>
        </is>
      </c>
      <c r="J56" t="inlineStr">
        <is>
          <t>HIAGO DE CIRQUEIRA PEREIRA - NTS449580</t>
        </is>
      </c>
      <c r="K56" t="inlineStr">
        <is>
          <t>ALINE LIMA SILVA - U468383</t>
        </is>
      </c>
      <c r="L56" t="inlineStr">
        <is>
          <t>PLANO 7</t>
        </is>
      </c>
      <c r="M56" t="inlineStr">
        <is>
          <t>INSTITUCIONAL</t>
        </is>
      </c>
      <c r="N56" t="inlineStr">
        <is>
          <t>20/10/25</t>
        </is>
      </c>
      <c r="O56" t="inlineStr">
        <is>
          <t>OBRA APITAR PARA CONSTRUÇÃO.
ADF SEGUE COMFORME PONTOS COLETADO.</t>
        </is>
      </c>
      <c r="P56" t="inlineStr">
        <is>
          <t>27/10/25</t>
        </is>
      </c>
      <c r="Q56" t="inlineStr">
        <is>
          <t>27/10/25</t>
        </is>
      </c>
      <c r="S56" t="inlineStr">
        <is>
          <t>2025-133012</t>
        </is>
      </c>
      <c r="T56" t="inlineStr">
        <is>
          <t>01/12/2025</t>
        </is>
      </c>
      <c r="U56" t="inlineStr">
        <is>
          <t>N/A</t>
        </is>
      </c>
      <c r="V56" t="inlineStr">
        <is>
          <t>2025-133115</t>
        </is>
      </c>
      <c r="W56" t="inlineStr">
        <is>
          <t>01/12/2025</t>
        </is>
      </c>
      <c r="X56" t="inlineStr">
        <is>
          <t>2025-133223</t>
        </is>
      </c>
      <c r="Y56" t="inlineStr">
        <is>
          <t>18/11/2025</t>
        </is>
      </c>
      <c r="Z56" t="inlineStr">
        <is>
          <t>APROVADA</t>
        </is>
      </c>
      <c r="AA56" t="inlineStr">
        <is>
          <t>1041336</t>
        </is>
      </c>
      <c r="AB56" t="inlineStr">
        <is>
          <t>E898406 AO E898422</t>
        </is>
      </c>
      <c r="AC56" t="inlineStr">
        <is>
          <t>0</t>
        </is>
      </c>
      <c r="AD56" t="inlineStr">
        <is>
          <t>0</t>
        </is>
      </c>
      <c r="AE56" t="inlineStr">
        <is>
          <t>17</t>
        </is>
      </c>
      <c r="AH56" t="inlineStr">
        <is>
          <t>17</t>
        </is>
      </c>
      <c r="AI56" t="inlineStr">
        <is>
          <t>0%</t>
        </is>
      </c>
      <c r="AJ56" t="inlineStr">
        <is>
          <t>90,00%</t>
        </is>
      </c>
      <c r="AK56" t="inlineStr">
        <is>
          <t>11/11/2025</t>
        </is>
      </c>
      <c r="AL56" t="inlineStr">
        <is>
          <t>18/11/2025</t>
        </is>
      </c>
      <c r="AP56" t="inlineStr">
        <is>
          <t>Q124398</t>
        </is>
      </c>
      <c r="AQ56" t="inlineStr">
        <is>
          <t>-11,489303</t>
        </is>
      </c>
      <c r="AR56" t="inlineStr">
        <is>
          <t>-42,273487</t>
        </is>
      </c>
      <c r="AS56" t="inlineStr">
        <is>
          <t>R$ 145.283,49</t>
        </is>
      </c>
      <c r="AT56" t="inlineStr">
        <is>
          <t>R$ 38.120,01</t>
        </is>
      </c>
      <c r="BA56" t="inlineStr">
        <is>
          <t>MRR-01X1</t>
        </is>
      </c>
      <c r="BB56" t="inlineStr">
        <is>
          <t>J14193</t>
        </is>
      </c>
      <c r="BI56" t="inlineStr">
        <is>
          <t xml:space="preserve">Q124398 </t>
        </is>
      </c>
      <c r="BJ56" t="inlineStr">
        <is>
          <t xml:space="preserve">ABRIR CHAVE XXX PARA ADICIONAR FASE DO PG: Q124398 AO D150041 E ENERGIZAR OBRA </t>
        </is>
      </c>
      <c r="BK56" t="inlineStr">
        <is>
          <t>REVISADO APÓS ANÁLISE</t>
        </is>
      </c>
    </row>
    <row r="57">
      <c r="A57" t="inlineStr">
        <is>
          <t>ITAGUAÇU DA BAHIA</t>
        </is>
      </c>
      <c r="B57" t="inlineStr">
        <is>
          <t>B-1194973</t>
        </is>
      </c>
      <c r="E57" t="inlineStr">
        <is>
          <t>RR-CIND-POV-MUNDINHO-RURAL</t>
        </is>
      </c>
      <c r="F57" t="inlineStr">
        <is>
          <t>ITAGUAÇU DA BAHIA</t>
        </is>
      </c>
      <c r="G57" t="inlineStr">
        <is>
          <t>CANCELADA</t>
        </is>
      </c>
      <c r="H57" t="inlineStr">
        <is>
          <t>8,3KM ADF</t>
        </is>
      </c>
      <c r="I57" t="inlineStr">
        <is>
          <t>FELIPE PEREIRA ALVES - NTS633505</t>
        </is>
      </c>
      <c r="J57" t="inlineStr">
        <is>
          <t>RENATO ALVES DE OLIVEIRA GONCALVES - NTS467500</t>
        </is>
      </c>
      <c r="K57" t="inlineStr">
        <is>
          <t xml:space="preserve">JOSE EDUARDO - U468835 </t>
        </is>
      </c>
      <c r="L57" t="inlineStr">
        <is>
          <t>PLANO 7</t>
        </is>
      </c>
      <c r="M57" t="inlineStr">
        <is>
          <t>GOVERNO</t>
        </is>
      </c>
      <c r="N57" t="inlineStr">
        <is>
          <t>24/10/25</t>
        </is>
      </c>
      <c r="O57" t="inlineStr">
        <is>
          <t>OBRA COM DIVERSAS DIFICULDADES, ATENÇÃO,  AS DUAS OBRAS DE MUNDINHO PEDE PRA ADICIONAR FASE NO MESMO LOCAL E FAZER PRATICAMENTE OS MESMOS SERVIÇOS</t>
        </is>
      </c>
      <c r="U57" t="inlineStr">
        <is>
          <t>N/A</t>
        </is>
      </c>
      <c r="AA57" t="inlineStr">
        <is>
          <t>1041339</t>
        </is>
      </c>
      <c r="AB57" t="inlineStr">
        <is>
          <t>E898423 AO E898437</t>
        </is>
      </c>
      <c r="AE57" t="inlineStr">
        <is>
          <t>15</t>
        </is>
      </c>
      <c r="AH57" t="inlineStr">
        <is>
          <t>0</t>
        </is>
      </c>
      <c r="AI57" t="inlineStr">
        <is>
          <t>0%</t>
        </is>
      </c>
      <c r="AP57" t="inlineStr">
        <is>
          <t>Q192453</t>
        </is>
      </c>
      <c r="AQ57" t="inlineStr">
        <is>
          <t>-11,029144</t>
        </is>
      </c>
      <c r="AR57" t="inlineStr">
        <is>
          <t>-42,179368</t>
        </is>
      </c>
      <c r="AS57" t="inlineStr">
        <is>
          <t>R$ 200.848,05</t>
        </is>
      </c>
      <c r="AT57" t="inlineStr">
        <is>
          <t>R$ 53.525,14</t>
        </is>
      </c>
      <c r="BA57" t="inlineStr">
        <is>
          <t>IRC-01L8</t>
        </is>
      </c>
      <c r="BB57" t="inlineStr">
        <is>
          <t>G15214</t>
        </is>
      </c>
      <c r="BI57" t="inlineStr">
        <is>
          <t xml:space="preserve">Q197445 </t>
        </is>
      </c>
      <c r="BJ57" t="inlineStr">
        <is>
          <t xml:space="preserve">ABRIR CHAVE G15215 PARA ADICIONAR FASE DO PG: Q197445 AO Q192453, SUBST. PT MT Q197462, INTERCALAR POSTE AT C/ N1 E TF ENTRE OS PG: Q192452 - Q192451, </t>
        </is>
      </c>
      <c r="BK57" t="inlineStr">
        <is>
          <t>.</t>
        </is>
      </c>
    </row>
    <row r="58">
      <c r="A58" t="inlineStr">
        <is>
          <t>9102347134</t>
        </is>
      </c>
      <c r="B58" t="inlineStr">
        <is>
          <t>B-1229074</t>
        </is>
      </c>
      <c r="C58" t="inlineStr">
        <is>
          <t>CRIAR</t>
        </is>
      </c>
      <c r="D58" t="inlineStr">
        <is>
          <t>CRIAR</t>
        </is>
      </c>
      <c r="E58" t="inlineStr">
        <is>
          <t>ER-CIND-POV-VARIANTE-RURAL SAO GABRIEL</t>
        </is>
      </c>
      <c r="F58" t="inlineStr">
        <is>
          <t>SÃO GABRIEL</t>
        </is>
      </c>
      <c r="G58" t="inlineStr">
        <is>
          <t>PROGRAMADA</t>
        </is>
      </c>
      <c r="I58" t="inlineStr">
        <is>
          <t>REVERTON BASTOS ROCHA NOVAIS - NTS972592</t>
        </is>
      </c>
      <c r="J58" t="inlineStr">
        <is>
          <t>RENATO ALVES DE OLIVEIRA GONCALVES - NTS467500</t>
        </is>
      </c>
      <c r="K58" t="inlineStr">
        <is>
          <t>FLAVIO ALMEIDA DOS ANJOS - U468839</t>
        </is>
      </c>
      <c r="L58" t="inlineStr">
        <is>
          <t>PLANO 7 ALTERAR P/ 14</t>
        </is>
      </c>
      <c r="M58" t="inlineStr">
        <is>
          <t>QLP</t>
        </is>
      </c>
      <c r="N58" t="inlineStr">
        <is>
          <t>21/10/25</t>
        </is>
      </c>
      <c r="O58" t="inlineStr">
        <is>
          <t xml:space="preserve">ENCABECAR REDE CONFORME PROJETO E SUBSTITUIR OS POSTES. </t>
        </is>
      </c>
      <c r="P58" t="inlineStr">
        <is>
          <t>30/10/25</t>
        </is>
      </c>
      <c r="Q58" t="inlineStr">
        <is>
          <t>30/10/25</t>
        </is>
      </c>
      <c r="S58" t="inlineStr">
        <is>
          <t>2025-131446</t>
        </is>
      </c>
      <c r="T58" t="inlineStr">
        <is>
          <t>01/12/2025</t>
        </is>
      </c>
      <c r="U58" t="inlineStr">
        <is>
          <t>2025-131517</t>
        </is>
      </c>
      <c r="V58" t="inlineStr">
        <is>
          <t>2025-131461</t>
        </is>
      </c>
      <c r="W58" t="inlineStr">
        <is>
          <t>01/12/2025</t>
        </is>
      </c>
      <c r="X58" t="inlineStr">
        <is>
          <t>N/A</t>
        </is>
      </c>
      <c r="AA58" t="inlineStr">
        <is>
          <t>1041341</t>
        </is>
      </c>
      <c r="AB58" t="inlineStr">
        <is>
          <t>E898438 AO E898444</t>
        </is>
      </c>
      <c r="AC58" t="inlineStr">
        <is>
          <t>2</t>
        </is>
      </c>
      <c r="AD58" t="inlineStr">
        <is>
          <t>1</t>
        </is>
      </c>
      <c r="AE58" t="inlineStr">
        <is>
          <t>15</t>
        </is>
      </c>
      <c r="AH58" t="inlineStr">
        <is>
          <t>15</t>
        </is>
      </c>
      <c r="AI58" t="inlineStr">
        <is>
          <t>0%</t>
        </is>
      </c>
      <c r="AJ58" t="inlineStr">
        <is>
          <t>100,00%</t>
        </is>
      </c>
      <c r="AK58" t="inlineStr">
        <is>
          <t>13/11/2025</t>
        </is>
      </c>
      <c r="AL58" t="inlineStr">
        <is>
          <t>25/11/2025</t>
        </is>
      </c>
      <c r="AP58" t="inlineStr">
        <is>
          <t>E289570</t>
        </is>
      </c>
      <c r="AQ58" t="inlineStr">
        <is>
          <t>-11,152108</t>
        </is>
      </c>
      <c r="AR58" t="inlineStr">
        <is>
          <t xml:space="preserve">	-41,801523</t>
        </is>
      </c>
      <c r="AS58" t="inlineStr">
        <is>
          <t>R$ 124.269,06</t>
        </is>
      </c>
      <c r="AT58" t="inlineStr">
        <is>
          <t>R$ 45.673,78</t>
        </is>
      </c>
      <c r="AW58" t="inlineStr">
        <is>
          <t>0,24</t>
        </is>
      </c>
      <c r="BA58" t="inlineStr">
        <is>
          <t>IRC-01L5</t>
        </is>
      </c>
      <c r="BB58" t="inlineStr">
        <is>
          <t>V22512</t>
        </is>
      </c>
      <c r="BI58" t="inlineStr">
        <is>
          <t xml:space="preserve">E289571 </t>
        </is>
      </c>
      <c r="BJ58" t="inlineStr">
        <is>
          <t>ABRIR CHAVE DO TRAFO V22513 PARA SUBSTITUIR POSTES BT POR AT DO PG: E289571 AO B319790 E ENERGIZAR OBRA.</t>
        </is>
      </c>
      <c r="BK58" t="inlineStr">
        <is>
          <t>REVISADO APÓS ANÁLISE</t>
        </is>
      </c>
    </row>
    <row r="59">
      <c r="A59" t="inlineStr">
        <is>
          <t>9102351063</t>
        </is>
      </c>
      <c r="B59" t="inlineStr">
        <is>
          <t>B-1229084</t>
        </is>
      </c>
      <c r="E59" t="inlineStr">
        <is>
          <t>ER-CIND-POV-QUEIMADA J-RURAL</t>
        </is>
      </c>
      <c r="F59" t="inlineStr">
        <is>
          <t>CANARANA</t>
        </is>
      </c>
      <c r="G59" t="inlineStr">
        <is>
          <t>RETIRADA DA CARTEIRA</t>
        </is>
      </c>
      <c r="H59" t="inlineStr">
        <is>
          <t>RETIRADA DA CARTEIRA POR RESTRIÇÃO AMBIENTAL, E-MAIL 29/10 -  CONFIRMADO RETIRDA DIA05/11</t>
        </is>
      </c>
      <c r="I59" t="inlineStr">
        <is>
          <t>JARBAS SOUZA AMORIM - NTS987502</t>
        </is>
      </c>
      <c r="J59" t="inlineStr">
        <is>
          <t>HIAGO DE CIRQUEIRA PEREIRA - NTS449580</t>
        </is>
      </c>
      <c r="L59" t="inlineStr">
        <is>
          <t>PLANO 7</t>
        </is>
      </c>
      <c r="N59" t="inlineStr">
        <is>
          <t>22/10/25</t>
        </is>
      </c>
      <c r="O59" t="inlineStr">
        <is>
          <t>INTERCALAR POSTE MT CONFORME PROJETO. PASSA POSTE DE 12.</t>
        </is>
      </c>
      <c r="P59" t="inlineStr">
        <is>
          <t>24/10/25</t>
        </is>
      </c>
      <c r="Q59" t="inlineStr">
        <is>
          <t>27/10/25</t>
        </is>
      </c>
      <c r="S59" t="inlineStr">
        <is>
          <t>2025-133601</t>
        </is>
      </c>
      <c r="U59" t="inlineStr">
        <is>
          <t>N/A</t>
        </is>
      </c>
      <c r="V59" t="inlineStr">
        <is>
          <t>2025-133609</t>
        </is>
      </c>
      <c r="X59" t="inlineStr">
        <is>
          <t>N/A</t>
        </is>
      </c>
      <c r="AA59" t="inlineStr">
        <is>
          <t>1041343</t>
        </is>
      </c>
      <c r="AB59" t="inlineStr">
        <is>
          <t>E898452 AO E898476</t>
        </is>
      </c>
      <c r="AE59" t="inlineStr">
        <is>
          <t>25</t>
        </is>
      </c>
      <c r="AH59" t="inlineStr">
        <is>
          <t>0</t>
        </is>
      </c>
      <c r="AI59" t="inlineStr">
        <is>
          <t>0%</t>
        </is>
      </c>
      <c r="AP59" t="inlineStr">
        <is>
          <t>A488090</t>
        </is>
      </c>
      <c r="AQ59" t="inlineStr">
        <is>
          <t>-11,856462</t>
        </is>
      </c>
      <c r="AR59" t="inlineStr">
        <is>
          <t xml:space="preserve">	-41,689598</t>
        </is>
      </c>
      <c r="AS59" t="inlineStr">
        <is>
          <t>R$ 248.350,18</t>
        </is>
      </c>
      <c r="AT59" t="inlineStr">
        <is>
          <t>R$ 78.848,43</t>
        </is>
      </c>
      <c r="BA59" t="inlineStr">
        <is>
          <t>MGM-09Z3</t>
        </is>
      </c>
      <c r="BB59" t="inlineStr">
        <is>
          <t>G29189</t>
        </is>
      </c>
      <c r="BI59" t="inlineStr">
        <is>
          <t xml:space="preserve">A488091 </t>
        </is>
      </c>
      <c r="BJ59" t="inlineStr">
        <is>
          <t>INTERCALAR POSTE AT COM N1-3 ENTRE OS PG: A488091 - A488090, FECHAR CHAVE NOVA PRÓXIMO AO PG: A488090 E ENERGIZAR OBRA.</t>
        </is>
      </c>
      <c r="BK59" t="inlineStr">
        <is>
          <t>.</t>
        </is>
      </c>
    </row>
    <row r="60">
      <c r="A60" t="inlineStr">
        <is>
          <t>9102340747</t>
        </is>
      </c>
      <c r="B60" t="inlineStr">
        <is>
          <t>B-1230240</t>
        </is>
      </c>
      <c r="E60" t="inlineStr">
        <is>
          <t>RR-CIND-POV-TABOA DO MOINHO-RURAL</t>
        </is>
      </c>
      <c r="F60" t="inlineStr">
        <is>
          <t>SÃO GABRIEL</t>
        </is>
      </c>
      <c r="G60" t="inlineStr">
        <is>
          <t>PROGRAMADA</t>
        </is>
      </c>
      <c r="I60" t="inlineStr">
        <is>
          <t>REVERTON BASTOS ROCHA NOVAIS - NTS972592</t>
        </is>
      </c>
      <c r="J60" t="inlineStr">
        <is>
          <t>RENATO ALVES DE OLIVEIRA GONCALVES - NTS467500</t>
        </is>
      </c>
      <c r="K60" t="inlineStr">
        <is>
          <t>FLAVIO ALMEIDA DOS ANJOS - U468839</t>
        </is>
      </c>
      <c r="L60" t="inlineStr">
        <is>
          <t>PLANO 7</t>
        </is>
      </c>
      <c r="M60" t="inlineStr">
        <is>
          <t>QLP</t>
        </is>
      </c>
      <c r="N60" t="inlineStr">
        <is>
          <t>21/10/25</t>
        </is>
      </c>
      <c r="O60" t="inlineStr">
        <is>
          <t>INTERCALAR POSTE  11/600 COM ESTRUTURA MT N1-3 COM CHAVE. ENTRE OS POSTES Q111957 E O Q111958.</t>
        </is>
      </c>
      <c r="P60" t="inlineStr">
        <is>
          <t>27/10/25</t>
        </is>
      </c>
      <c r="Q60" t="inlineStr">
        <is>
          <t>27/10/25</t>
        </is>
      </c>
      <c r="S60" t="inlineStr">
        <is>
          <t>2025-138173</t>
        </is>
      </c>
      <c r="T60" t="inlineStr">
        <is>
          <t>01/12/2025</t>
        </is>
      </c>
      <c r="U60" t="inlineStr">
        <is>
          <t>N/A</t>
        </is>
      </c>
      <c r="V60" t="inlineStr">
        <is>
          <t>2025-131466</t>
        </is>
      </c>
      <c r="W60" t="inlineStr">
        <is>
          <t>01/12/2025</t>
        </is>
      </c>
      <c r="X60" t="inlineStr">
        <is>
          <t>N/A</t>
        </is>
      </c>
      <c r="AA60" t="inlineStr">
        <is>
          <t>1041344</t>
        </is>
      </c>
      <c r="AB60" t="inlineStr">
        <is>
          <t>E898477 AO E898487</t>
        </is>
      </c>
      <c r="AE60" t="inlineStr">
        <is>
          <t>11</t>
        </is>
      </c>
      <c r="AF60" t="inlineStr">
        <is>
          <t>11</t>
        </is>
      </c>
      <c r="AH60" t="inlineStr">
        <is>
          <t>11</t>
        </is>
      </c>
      <c r="AI60" t="inlineStr">
        <is>
          <t>0%</t>
        </is>
      </c>
      <c r="AJ60" t="inlineStr">
        <is>
          <t>100,00%</t>
        </is>
      </c>
      <c r="AK60" t="inlineStr">
        <is>
          <t>07/11/2025</t>
        </is>
      </c>
      <c r="AL60" t="inlineStr">
        <is>
          <t>12/11/2025</t>
        </is>
      </c>
      <c r="AP60" t="inlineStr">
        <is>
          <t>Q111957</t>
        </is>
      </c>
      <c r="AQ60" t="inlineStr">
        <is>
          <t>-11,157695</t>
        </is>
      </c>
      <c r="AR60" t="inlineStr">
        <is>
          <t xml:space="preserve">	-41,720149</t>
        </is>
      </c>
      <c r="AS60" t="inlineStr">
        <is>
          <t>R$ 96.044,74</t>
        </is>
      </c>
      <c r="AT60" t="inlineStr">
        <is>
          <t>R$ 27.846,85</t>
        </is>
      </c>
      <c r="BA60" t="inlineStr">
        <is>
          <t>IRC-01L4</t>
        </is>
      </c>
      <c r="BB60" t="inlineStr">
        <is>
          <t>J52506</t>
        </is>
      </c>
      <c r="BI60" t="inlineStr">
        <is>
          <t>Q111957</t>
        </is>
      </c>
      <c r="BJ60" t="inlineStr">
        <is>
          <t>MONTAR BANCADA COM N3 NO PG: Q111957, FECHAR CHAVE NOVA PRÓXIMO AO PG: Q111957 E ENERGIZAR OBRA.</t>
        </is>
      </c>
      <c r="BK60" t="inlineStr">
        <is>
          <t>REVISADO APÓS ANÁLISE</t>
        </is>
      </c>
    </row>
    <row r="61">
      <c r="A61" t="inlineStr">
        <is>
          <t>9102162832</t>
        </is>
      </c>
      <c r="B61" t="inlineStr">
        <is>
          <t>B-1231676</t>
        </is>
      </c>
      <c r="E61" t="inlineStr">
        <is>
          <t>IT-GRUA-FAZ- LAGOA NOVA-RURAL</t>
        </is>
      </c>
      <c r="F61" t="inlineStr">
        <is>
          <t>IRECÊ</t>
        </is>
      </c>
      <c r="G61" t="inlineStr">
        <is>
          <t>CANCELADA</t>
        </is>
      </c>
      <c r="H61" t="inlineStr">
        <is>
          <t>OBRA EXECUTADA POR OUTRA EPS COM OUTRO PROJETO</t>
        </is>
      </c>
      <c r="I61" t="inlineStr">
        <is>
          <t>ALAN NUNES BARRETO - NTS415566</t>
        </is>
      </c>
      <c r="J61" t="inlineStr">
        <is>
          <t>DJALMA RIOS DA CRUZ - NTS411576</t>
        </is>
      </c>
      <c r="K61" t="inlineStr">
        <is>
          <t>PEDRO ANDERSON NERI DE SOUZA - U465037</t>
        </is>
      </c>
      <c r="L61" t="inlineStr">
        <is>
          <t>PLANO 7</t>
        </is>
      </c>
      <c r="N61" t="inlineStr">
        <is>
          <t>17/10/25</t>
        </is>
      </c>
      <c r="O61" t="inlineStr">
        <is>
          <t>OBRA APITA PARA CONSTRUÇÃO CONFORME PROJETO.</t>
        </is>
      </c>
      <c r="P61" t="inlineStr">
        <is>
          <t>20/10/25</t>
        </is>
      </c>
      <c r="Q61" t="inlineStr">
        <is>
          <t>28/10/2025</t>
        </is>
      </c>
      <c r="U61" t="inlineStr">
        <is>
          <t>N/A</t>
        </is>
      </c>
      <c r="X61" t="inlineStr">
        <is>
          <t>N/A</t>
        </is>
      </c>
      <c r="AA61" t="inlineStr">
        <is>
          <t>1041361</t>
        </is>
      </c>
      <c r="AB61" t="inlineStr">
        <is>
          <t>E898488 AO E898494</t>
        </is>
      </c>
      <c r="AC61" t="inlineStr">
        <is>
          <t>0</t>
        </is>
      </c>
      <c r="AD61" t="inlineStr">
        <is>
          <t>0</t>
        </is>
      </c>
      <c r="AE61" t="inlineStr">
        <is>
          <t>7</t>
        </is>
      </c>
      <c r="AF61" t="inlineStr">
        <is>
          <t>3</t>
        </is>
      </c>
      <c r="AH61" t="inlineStr">
        <is>
          <t>0</t>
        </is>
      </c>
      <c r="AI61" t="inlineStr">
        <is>
          <t>0%</t>
        </is>
      </c>
      <c r="AP61" t="inlineStr">
        <is>
          <t>D631067</t>
        </is>
      </c>
      <c r="AQ61" t="inlineStr">
        <is>
          <t>-11,341875</t>
        </is>
      </c>
      <c r="AR61" t="inlineStr">
        <is>
          <t xml:space="preserve">	-41,740398</t>
        </is>
      </c>
      <c r="AS61" t="inlineStr">
        <is>
          <t>R$ 82.519,71</t>
        </is>
      </c>
      <c r="AT61" t="inlineStr">
        <is>
          <t>R$ 28.849,69</t>
        </is>
      </c>
      <c r="AW61" t="inlineStr">
        <is>
          <t>N/A</t>
        </is>
      </c>
      <c r="AX61" t="inlineStr">
        <is>
          <t>N/A</t>
        </is>
      </c>
      <c r="BA61" t="inlineStr">
        <is>
          <t>IAS-01M2</t>
        </is>
      </c>
      <c r="BB61" t="inlineStr">
        <is>
          <t>N15263</t>
        </is>
      </c>
      <c r="BI61" t="inlineStr">
        <is>
          <t>D631067</t>
        </is>
      </c>
      <c r="BJ61" t="inlineStr">
        <is>
          <t>ALTERAR ESTRUTURA DE N3 P/ N4 NO PG: D631067, FECHAR CHAVE NOVA PRÓXIMO AO PG: D631067 E ENERGIZAR OBRA.</t>
        </is>
      </c>
      <c r="BK61" t="inlineStr">
        <is>
          <t>.</t>
        </is>
      </c>
    </row>
    <row r="62">
      <c r="A62" t="inlineStr">
        <is>
          <t>9101098183</t>
        </is>
      </c>
      <c r="B62" t="inlineStr">
        <is>
          <t>B-0791391</t>
        </is>
      </c>
      <c r="E62" t="inlineStr">
        <is>
          <t>ME-CCOL-POV. MUNDINHO-RURAL</t>
        </is>
      </c>
      <c r="F62" t="inlineStr">
        <is>
          <t>ITAGUAÇU DA BAHIA</t>
        </is>
      </c>
      <c r="G62" t="inlineStr">
        <is>
          <t>PROGRAMADA</t>
        </is>
      </c>
      <c r="H62" t="inlineStr">
        <is>
          <t>MAIS DE 10KM DE ADF, MELHORAMENTO NO TRECHO DA ADF</t>
        </is>
      </c>
      <c r="I62" t="inlineStr">
        <is>
          <t>ENES RAMOS DA SILVA - NTS084535</t>
        </is>
      </c>
      <c r="J62" t="inlineStr">
        <is>
          <t>RENATO ALVES DE OLIVEIRA GONCALVES - NTS467500</t>
        </is>
      </c>
      <c r="K62" t="inlineStr">
        <is>
          <t xml:space="preserve">JOSE EDUARDO - U468835 </t>
        </is>
      </c>
      <c r="L62" t="inlineStr">
        <is>
          <t>PLANO 7</t>
        </is>
      </c>
      <c r="M62" t="inlineStr">
        <is>
          <t>AIC AUDITORIA</t>
        </is>
      </c>
      <c r="N62" t="inlineStr">
        <is>
          <t>24/10/25</t>
        </is>
      </c>
      <c r="O62" t="inlineStr">
        <is>
          <t>OBRA COM DIVERSAS DIFICULDADES, ATENÇÃO,  AS DUAS OBRAS DE MUNDINHO PEDE PRA ADICIONAR FASE NO MESMO LOCAL E FAZER PRATICAMENTE OS MESMOS SERVIÇOS</t>
        </is>
      </c>
      <c r="S62" t="inlineStr">
        <is>
          <t>2025-134400</t>
        </is>
      </c>
      <c r="T62" t="inlineStr">
        <is>
          <t>01/12/2025</t>
        </is>
      </c>
      <c r="U62" t="inlineStr">
        <is>
          <t>N/A</t>
        </is>
      </c>
      <c r="V62" t="inlineStr">
        <is>
          <t>CRIAR</t>
        </is>
      </c>
      <c r="X62" t="inlineStr">
        <is>
          <t>CRIAR</t>
        </is>
      </c>
      <c r="Z62" t="inlineStr">
        <is>
          <t>SOLICITAR</t>
        </is>
      </c>
      <c r="AA62" t="inlineStr">
        <is>
          <t>1041820</t>
        </is>
      </c>
      <c r="AB62" t="inlineStr">
        <is>
          <t>E903605 AO E903654</t>
        </is>
      </c>
      <c r="AC62" t="inlineStr">
        <is>
          <t>0</t>
        </is>
      </c>
      <c r="AD62" t="inlineStr">
        <is>
          <t>0</t>
        </is>
      </c>
      <c r="AE62" t="inlineStr">
        <is>
          <t>46</t>
        </is>
      </c>
      <c r="AH62" t="inlineStr">
        <is>
          <t>46</t>
        </is>
      </c>
      <c r="AI62" t="inlineStr">
        <is>
          <t>0%</t>
        </is>
      </c>
      <c r="AJ62" t="inlineStr">
        <is>
          <t>90,00%</t>
        </is>
      </c>
      <c r="AP62" t="inlineStr">
        <is>
          <t>Q197444</t>
        </is>
      </c>
      <c r="AQ62" t="inlineStr">
        <is>
          <t>-11.077617</t>
        </is>
      </c>
      <c r="AR62" t="inlineStr">
        <is>
          <t xml:space="preserve"> -42.135719</t>
        </is>
      </c>
      <c r="AS62" t="inlineStr">
        <is>
          <t>R$ 393.547,22</t>
        </is>
      </c>
      <c r="AT62" t="inlineStr">
        <is>
          <t>R$ 203.193,51</t>
        </is>
      </c>
      <c r="BA62" t="inlineStr">
        <is>
          <t>IRC-01L8</t>
        </is>
      </c>
      <c r="BB62" t="inlineStr">
        <is>
          <t>G15214</t>
        </is>
      </c>
      <c r="BI62" t="inlineStr">
        <is>
          <t>Q197444</t>
        </is>
      </c>
      <c r="BK62" t="inlineStr">
        <is>
          <t>.</t>
        </is>
      </c>
    </row>
    <row r="63">
      <c r="A63" t="inlineStr">
        <is>
          <t>9102343680</t>
        </is>
      </c>
      <c r="B63" t="inlineStr">
        <is>
          <t>B-1229264</t>
        </is>
      </c>
      <c r="C63" t="inlineStr">
        <is>
          <t>CRIAR</t>
        </is>
      </c>
      <c r="D63" t="inlineStr">
        <is>
          <t>CRIAR</t>
        </is>
      </c>
      <c r="E63" t="inlineStr">
        <is>
          <t>ER-CIND-POV-LAGOA DO CHICO EDU-RURAL</t>
        </is>
      </c>
      <c r="F63" t="inlineStr">
        <is>
          <t>ITAGUAÇU DA BAHIA</t>
        </is>
      </c>
      <c r="G63" t="inlineStr">
        <is>
          <t>PROGRAMADA</t>
        </is>
      </c>
      <c r="H63" t="inlineStr">
        <is>
          <t>2,3KM ADF</t>
        </is>
      </c>
      <c r="I63" t="inlineStr">
        <is>
          <t>ENES RAMOS DA SILVA - NTS084535</t>
        </is>
      </c>
      <c r="J63" t="inlineStr">
        <is>
          <t>RENATO ALVES DE OLIVEIRA GONCALVES - NTS467500</t>
        </is>
      </c>
      <c r="K63" t="inlineStr">
        <is>
          <t xml:space="preserve">JOSE EDUARDO - U468835 </t>
        </is>
      </c>
      <c r="L63" t="inlineStr">
        <is>
          <t>PLANO 7 ALTERAR P/ 14</t>
        </is>
      </c>
      <c r="M63" t="inlineStr">
        <is>
          <t>QLP</t>
        </is>
      </c>
      <c r="N63" t="inlineStr">
        <is>
          <t>23/10/25</t>
        </is>
      </c>
      <c r="O63" t="inlineStr">
        <is>
          <t>ADF DE ACORDO PROJETO</t>
        </is>
      </c>
      <c r="P63" t="inlineStr">
        <is>
          <t>23/10/25</t>
        </is>
      </c>
      <c r="Q63" t="inlineStr">
        <is>
          <t>27/10/25</t>
        </is>
      </c>
      <c r="S63" t="inlineStr">
        <is>
          <t>2025-134402</t>
        </is>
      </c>
      <c r="T63" t="inlineStr">
        <is>
          <t>01/12/2025</t>
        </is>
      </c>
      <c r="U63" t="inlineStr">
        <is>
          <t>N/A</t>
        </is>
      </c>
      <c r="V63" t="inlineStr">
        <is>
          <t>2025-134462</t>
        </is>
      </c>
      <c r="W63" t="inlineStr">
        <is>
          <t>01/12/2025</t>
        </is>
      </c>
      <c r="X63" t="inlineStr">
        <is>
          <t>2025-134906</t>
        </is>
      </c>
      <c r="Y63" t="inlineStr">
        <is>
          <t>17/11/2025</t>
        </is>
      </c>
      <c r="Z63" t="inlineStr">
        <is>
          <t>APROVADA</t>
        </is>
      </c>
      <c r="AA63" t="inlineStr">
        <is>
          <t>1041821</t>
        </is>
      </c>
      <c r="AB63" t="inlineStr">
        <is>
          <t>E903655 AO E903680</t>
        </is>
      </c>
      <c r="AC63" t="inlineStr">
        <is>
          <t>1</t>
        </is>
      </c>
      <c r="AD63" t="inlineStr">
        <is>
          <t>1</t>
        </is>
      </c>
      <c r="AE63" t="inlineStr">
        <is>
          <t>19</t>
        </is>
      </c>
      <c r="AF63" t="inlineStr">
        <is>
          <t>16</t>
        </is>
      </c>
      <c r="AG63" t="inlineStr">
        <is>
          <t>13</t>
        </is>
      </c>
      <c r="AH63" t="inlineStr">
        <is>
          <t>6</t>
        </is>
      </c>
      <c r="AI63" t="inlineStr">
        <is>
          <t>68%</t>
        </is>
      </c>
      <c r="AJ63" t="inlineStr">
        <is>
          <t>90,00%</t>
        </is>
      </c>
      <c r="AK63" t="inlineStr">
        <is>
          <t>04/11/2025</t>
        </is>
      </c>
      <c r="AL63" t="inlineStr">
        <is>
          <t>17/11/2025</t>
        </is>
      </c>
      <c r="AP63" t="inlineStr">
        <is>
          <t xml:space="preserve">	E495412</t>
        </is>
      </c>
      <c r="AQ63" t="inlineStr">
        <is>
          <t>-11,011449</t>
        </is>
      </c>
      <c r="AR63" t="inlineStr">
        <is>
          <t>-42,293051_x000D_</t>
        </is>
      </c>
      <c r="AS63" t="inlineStr">
        <is>
          <t>R$ 259.828,23</t>
        </is>
      </c>
      <c r="AT63" t="inlineStr">
        <is>
          <t>R$ 73.114,07</t>
        </is>
      </c>
      <c r="BA63" t="inlineStr">
        <is>
          <t>CDI-09Z2</t>
        </is>
      </c>
      <c r="BB63" t="inlineStr">
        <is>
          <t>W70413</t>
        </is>
      </c>
      <c r="BI63" t="inlineStr">
        <is>
          <t>E495412</t>
        </is>
      </c>
      <c r="BK63" t="inlineStr">
        <is>
          <t>REVISADO APÓS ANÁLISE</t>
        </is>
      </c>
    </row>
    <row r="64">
      <c r="A64" t="inlineStr">
        <is>
          <t>9102345439</t>
        </is>
      </c>
      <c r="B64" t="inlineStr">
        <is>
          <t>B-1229383</t>
        </is>
      </c>
      <c r="E64" t="inlineStr">
        <is>
          <t>ER-CIND-POV-ALAGOINHAS-RURAL-UIBAI</t>
        </is>
      </c>
      <c r="F64" t="inlineStr">
        <is>
          <t>UIBAÍ</t>
        </is>
      </c>
      <c r="G64" t="inlineStr">
        <is>
          <t>RETIRADA DA CARTEIRA</t>
        </is>
      </c>
      <c r="H64" t="inlineStr">
        <is>
          <t>DIRECIONADA PRA OUTRA EPS, TENDIDA PELO PARACER 23, SEGUNDO BRUNA VIA HATSAPP DIA 24/10</t>
        </is>
      </c>
      <c r="J64" t="inlineStr">
        <is>
          <t>#N/A</t>
        </is>
      </c>
      <c r="L64" t="inlineStr">
        <is>
          <t>PLANO 7</t>
        </is>
      </c>
      <c r="AE64" t="inlineStr">
        <is>
          <t>7</t>
        </is>
      </c>
      <c r="AH64" t="inlineStr">
        <is>
          <t>0</t>
        </is>
      </c>
      <c r="AI64" t="inlineStr">
        <is>
          <t>0%</t>
        </is>
      </c>
      <c r="AT64" t="inlineStr">
        <is>
          <t>R$ 2.170,56</t>
        </is>
      </c>
      <c r="AU64" t="inlineStr">
        <is>
          <t>#N/A</t>
        </is>
      </c>
      <c r="BK64" t="inlineStr">
        <is>
          <t>.</t>
        </is>
      </c>
    </row>
    <row r="65">
      <c r="A65" t="inlineStr">
        <is>
          <t>9102345790</t>
        </is>
      </c>
      <c r="B65" t="inlineStr">
        <is>
          <t>B-1231419</t>
        </is>
      </c>
      <c r="C65" t="inlineStr">
        <is>
          <t>CRIAR</t>
        </is>
      </c>
      <c r="D65" t="inlineStr">
        <is>
          <t>CRIAR</t>
        </is>
      </c>
      <c r="E65" t="inlineStr">
        <is>
          <t>ER-CIND-FAZ-BELA VISTA-RURAL</t>
        </is>
      </c>
      <c r="F65" t="inlineStr">
        <is>
          <t>PRESIDENTE DUTRA</t>
        </is>
      </c>
      <c r="G65" t="inlineStr">
        <is>
          <t>PROGRAMADA</t>
        </is>
      </c>
      <c r="H65" t="inlineStr">
        <is>
          <t>VERIFICAR SE ESTÁ EM ÁREA DE APP NO GEOBAHIA</t>
        </is>
      </c>
      <c r="I65" t="inlineStr">
        <is>
          <t>GIORLAN EVANGELISTA SOUZA - NTS063576</t>
        </is>
      </c>
      <c r="J65" t="inlineStr">
        <is>
          <t>RENATO ALVES DE OLIVEIRA GONCALVES - NTS467500</t>
        </is>
      </c>
      <c r="K65" t="inlineStr">
        <is>
          <t>JARBAS LIMA VIEIRA - U348612</t>
        </is>
      </c>
      <c r="L65" t="inlineStr">
        <is>
          <t>PLANO 7 ALTERAR P/ 14</t>
        </is>
      </c>
      <c r="M65" t="inlineStr">
        <is>
          <t>QLP</t>
        </is>
      </c>
      <c r="N65" t="inlineStr">
        <is>
          <t>27/10/25</t>
        </is>
      </c>
      <c r="O65" t="inlineStr">
        <is>
          <t>OBRA APITA PARA CONSTRUÇÃO,</t>
        </is>
      </c>
      <c r="P65" t="inlineStr">
        <is>
          <t>27/10/25</t>
        </is>
      </c>
      <c r="Q65" t="inlineStr">
        <is>
          <t>27/10/25</t>
        </is>
      </c>
      <c r="S65" t="inlineStr">
        <is>
          <t>2025-134403</t>
        </is>
      </c>
      <c r="T65" t="inlineStr">
        <is>
          <t>01/12/2025</t>
        </is>
      </c>
      <c r="U65" t="inlineStr">
        <is>
          <t>2025-138904</t>
        </is>
      </c>
      <c r="V65" t="inlineStr">
        <is>
          <t>2025-134464</t>
        </is>
      </c>
      <c r="W65" t="inlineStr">
        <is>
          <t>01/12/2025</t>
        </is>
      </c>
      <c r="X65" t="inlineStr">
        <is>
          <t>N/A</t>
        </is>
      </c>
      <c r="AA65" t="inlineStr">
        <is>
          <t>1041822</t>
        </is>
      </c>
      <c r="AB65" t="inlineStr">
        <is>
          <t>E903681 AO E903703</t>
        </is>
      </c>
      <c r="AC65" t="inlineStr">
        <is>
          <t>1</t>
        </is>
      </c>
      <c r="AD65" t="inlineStr">
        <is>
          <t>1</t>
        </is>
      </c>
      <c r="AE65" t="inlineStr">
        <is>
          <t>23</t>
        </is>
      </c>
      <c r="AH65" t="inlineStr">
        <is>
          <t>23</t>
        </is>
      </c>
      <c r="AI65" t="inlineStr">
        <is>
          <t>0%</t>
        </is>
      </c>
      <c r="AJ65" t="inlineStr">
        <is>
          <t>100,00%</t>
        </is>
      </c>
      <c r="AK65" t="inlineStr">
        <is>
          <t>04/11/2025</t>
        </is>
      </c>
      <c r="AL65" t="inlineStr">
        <is>
          <t>12/11/2025</t>
        </is>
      </c>
      <c r="AP65" t="inlineStr">
        <is>
          <t>E794492</t>
        </is>
      </c>
      <c r="AQ65" t="inlineStr">
        <is>
          <t>-11.392045</t>
        </is>
      </c>
      <c r="AR65" t="inlineStr">
        <is>
          <t>-42.000308</t>
        </is>
      </c>
      <c r="AU65" t="inlineStr">
        <is>
          <t>2338</t>
        </is>
      </c>
      <c r="BA65" t="inlineStr">
        <is>
          <t>IRC-01L2</t>
        </is>
      </c>
      <c r="BB65" t="inlineStr">
        <is>
          <t>E23828</t>
        </is>
      </c>
      <c r="BI65" t="inlineStr">
        <is>
          <t>E794492</t>
        </is>
      </c>
      <c r="BK65" t="inlineStr">
        <is>
          <t>REVISADO APÓS ANÁLISE</t>
        </is>
      </c>
    </row>
    <row r="66">
      <c r="A66" t="inlineStr">
        <is>
          <t>9102340321</t>
        </is>
      </c>
      <c r="B66" t="inlineStr">
        <is>
          <t>B-1231704</t>
        </is>
      </c>
      <c r="E66" t="inlineStr">
        <is>
          <t>ER-CIND-POV-ANGICOS-RURAL</t>
        </is>
      </c>
      <c r="F66" t="inlineStr">
        <is>
          <t>XIQUE-XIQUE</t>
        </is>
      </c>
      <c r="G66" t="inlineStr">
        <is>
          <t>PROGRAMADA</t>
        </is>
      </c>
      <c r="H66" t="inlineStr">
        <is>
          <t>APTA DE ACORDO PROJETO</t>
        </is>
      </c>
      <c r="I66" t="inlineStr">
        <is>
          <t>ESMERALDO DOS SANTOS OLIVEIRA - NTS551535</t>
        </is>
      </c>
      <c r="J66" t="inlineStr">
        <is>
          <t>RENATO ALVES DE OLIVEIRA GONCALVES - NTS467500</t>
        </is>
      </c>
      <c r="K66" t="inlineStr">
        <is>
          <t xml:space="preserve">JOSE EDUARDO - U468835 </t>
        </is>
      </c>
      <c r="L66" t="inlineStr">
        <is>
          <t>PLANO 7</t>
        </is>
      </c>
      <c r="M66" t="inlineStr">
        <is>
          <t>JUDICIAL</t>
        </is>
      </c>
      <c r="N66" t="inlineStr">
        <is>
          <t>28/10/25</t>
        </is>
      </c>
      <c r="O66" t="inlineStr">
        <is>
          <t>OBRA APITA PARA CONSTRUÇÃO,</t>
        </is>
      </c>
      <c r="P66" t="inlineStr">
        <is>
          <t>29/10/25</t>
        </is>
      </c>
      <c r="Q66" t="inlineStr">
        <is>
          <t>30/10/25</t>
        </is>
      </c>
      <c r="S66" t="inlineStr">
        <is>
          <t>2025-138942</t>
        </is>
      </c>
      <c r="T66" t="inlineStr">
        <is>
          <t>01/12/2025</t>
        </is>
      </c>
      <c r="U66" t="inlineStr">
        <is>
          <t>N/A</t>
        </is>
      </c>
      <c r="V66" t="inlineStr">
        <is>
          <t>2025-136100</t>
        </is>
      </c>
      <c r="W66" t="inlineStr">
        <is>
          <t>01/12/2025</t>
        </is>
      </c>
      <c r="X66" t="inlineStr">
        <is>
          <t>N/A</t>
        </is>
      </c>
      <c r="AA66" t="inlineStr">
        <is>
          <t>1042255</t>
        </is>
      </c>
      <c r="AB66" t="inlineStr">
        <is>
          <t>E906216 AO E906257
E898313 AO E898317</t>
        </is>
      </c>
      <c r="AE66" t="inlineStr">
        <is>
          <t>41</t>
        </is>
      </c>
      <c r="AH66" t="inlineStr">
        <is>
          <t>41</t>
        </is>
      </c>
      <c r="AI66" t="inlineStr">
        <is>
          <t>0%</t>
        </is>
      </c>
      <c r="AJ66" t="inlineStr">
        <is>
          <t>50,00%</t>
        </is>
      </c>
      <c r="AK66" t="inlineStr">
        <is>
          <t>03/11/2025</t>
        </is>
      </c>
      <c r="AL66" t="inlineStr">
        <is>
          <t>30/11/2025</t>
        </is>
      </c>
      <c r="BA66" t="inlineStr">
        <is>
          <t>RVD-01N1</t>
        </is>
      </c>
      <c r="BB66" t="inlineStr">
        <is>
          <t>V33704</t>
        </is>
      </c>
      <c r="BI66" t="inlineStr">
        <is>
          <t>E463624</t>
        </is>
      </c>
      <c r="BJ66" t="inlineStr">
        <is>
          <t>ALTERAR ESTRUTURA DE N3 P/ N4 NO PG: E463624, FECHAR CHAVE NOVA PRÓXIMO AO PG: E463624 E ENERGIZAR OBRA.</t>
        </is>
      </c>
      <c r="BK66" t="inlineStr">
        <is>
          <t>REVISADO APÓS ANÁLISE</t>
        </is>
      </c>
    </row>
    <row r="67">
      <c r="A67" t="inlineStr">
        <is>
          <t>9102318500</t>
        </is>
      </c>
      <c r="B67" t="inlineStr">
        <is>
          <t>B-1214123</t>
        </is>
      </c>
      <c r="E67" t="inlineStr">
        <is>
          <t>IP-SEIN-RUA-JOAO DOURADO-NOVO CANAL</t>
        </is>
      </c>
      <c r="F67" t="inlineStr">
        <is>
          <t>JOÃO DOURADO</t>
        </is>
      </c>
      <c r="G67" t="inlineStr">
        <is>
          <t>PROGRAMADA</t>
        </is>
      </c>
      <c r="I67" t="inlineStr">
        <is>
          <t>ALEX SANDRO SANTOS BISPO - NTS877502</t>
        </is>
      </c>
      <c r="J67" t="inlineStr">
        <is>
          <t>DJALMA RIOS DA CRUZ - NTS411576</t>
        </is>
      </c>
      <c r="K67" t="inlineStr">
        <is>
          <t>PEDRO ANDERSON NERI DE SOUZA - U465037</t>
        </is>
      </c>
      <c r="L67" t="inlineStr">
        <is>
          <t>PLANO 7</t>
        </is>
      </c>
      <c r="M67" t="inlineStr">
        <is>
          <t>GOVERNO</t>
        </is>
      </c>
      <c r="N67" t="inlineStr">
        <is>
          <t>28/10/25</t>
        </is>
      </c>
      <c r="O67" t="inlineStr">
        <is>
          <t>ALTERAR DERIVAÇÃO.  EXTENDER A REDE BT PELOS POSTES DA SEQUENCIA B678842, B678843</t>
        </is>
      </c>
      <c r="P67" t="inlineStr">
        <is>
          <t>29/10/25</t>
        </is>
      </c>
      <c r="Q67" t="inlineStr">
        <is>
          <t>03/11/25</t>
        </is>
      </c>
      <c r="S67" t="inlineStr">
        <is>
          <t>2025-137899</t>
        </is>
      </c>
      <c r="T67" t="inlineStr">
        <is>
          <t>01/12/2025</t>
        </is>
      </c>
      <c r="U67" t="inlineStr">
        <is>
          <t>N/A</t>
        </is>
      </c>
      <c r="V67" t="inlineStr">
        <is>
          <t>2025-136118</t>
        </is>
      </c>
      <c r="W67" t="inlineStr">
        <is>
          <t>01/12/2025</t>
        </is>
      </c>
      <c r="X67" t="inlineStr">
        <is>
          <t>N/A</t>
        </is>
      </c>
      <c r="AA67" t="inlineStr">
        <is>
          <t>1042256</t>
        </is>
      </c>
      <c r="AB67" t="inlineStr">
        <is>
          <t>E906345 AO E906399</t>
        </is>
      </c>
      <c r="AC67" t="inlineStr">
        <is>
          <t>0</t>
        </is>
      </c>
      <c r="AD67" t="inlineStr">
        <is>
          <t>0</t>
        </is>
      </c>
      <c r="AE67" t="inlineStr">
        <is>
          <t>54</t>
        </is>
      </c>
      <c r="AF67" t="inlineStr">
        <is>
          <t>39</t>
        </is>
      </c>
      <c r="AG67" t="inlineStr">
        <is>
          <t>34</t>
        </is>
      </c>
      <c r="AH67" t="inlineStr">
        <is>
          <t>20</t>
        </is>
      </c>
      <c r="AI67" t="inlineStr">
        <is>
          <t>63%</t>
        </is>
      </c>
      <c r="AJ67" t="inlineStr">
        <is>
          <t>50,00%</t>
        </is>
      </c>
      <c r="AK67" t="inlineStr">
        <is>
          <t>03/11/2025</t>
        </is>
      </c>
      <c r="AL67" t="inlineStr">
        <is>
          <t>30/11/2025</t>
        </is>
      </c>
      <c r="AP67" t="inlineStr">
        <is>
          <t>B678842</t>
        </is>
      </c>
      <c r="AQ67" t="inlineStr">
        <is>
          <t>-11.346185</t>
        </is>
      </c>
      <c r="AR67" t="inlineStr">
        <is>
          <t>-41.639873</t>
        </is>
      </c>
      <c r="BA67" t="inlineStr">
        <is>
          <t>ADD-01W3</t>
        </is>
      </c>
      <c r="BB67" t="inlineStr">
        <is>
          <t>J15244</t>
        </is>
      </c>
      <c r="BI67" t="inlineStr">
        <is>
          <t>B678841</t>
        </is>
      </c>
      <c r="BJ67" t="inlineStr">
        <is>
          <t>MONTAR BANCADA PARA TRAFO NO PG: B678841, INTERCALAR POSTE AT C/ N1 ENTRE OS PG:  Q121336, FECHAR CHAVE DO TRAFO E ENERGIZAR OBRA.</t>
        </is>
      </c>
      <c r="BK67" t="inlineStr">
        <is>
          <t>REVISADO APÓS ANÁLISE</t>
        </is>
      </c>
    </row>
    <row r="68">
      <c r="A68" t="inlineStr">
        <is>
          <t>9102341797</t>
        </is>
      </c>
      <c r="B68" t="inlineStr">
        <is>
          <t>B-1230875</t>
        </is>
      </c>
      <c r="C68" t="inlineStr">
        <is>
          <t>N/A</t>
        </is>
      </c>
      <c r="D68" t="inlineStr">
        <is>
          <t>N/A</t>
        </is>
      </c>
      <c r="E68" t="inlineStr">
        <is>
          <t>UB-CIND-RUA-HERMILINO MACHADO-URBANA</t>
        </is>
      </c>
      <c r="F68" t="inlineStr">
        <is>
          <t>BARRO ALTO</t>
        </is>
      </c>
      <c r="G68" t="inlineStr">
        <is>
          <t>ENERGIZADA</t>
        </is>
      </c>
      <c r="I68" t="inlineStr">
        <is>
          <t>JARBAS SOUZA AMORIM - NTS987502</t>
        </is>
      </c>
      <c r="J68" t="inlineStr">
        <is>
          <t>HIAGO DE CIRQUEIRA PEREIRA - NTS449580</t>
        </is>
      </c>
      <c r="K68" t="inlineStr">
        <is>
          <t>ALINE LIMA SILVA - U468383</t>
        </is>
      </c>
      <c r="L68" t="inlineStr">
        <is>
          <t>PLANO 7</t>
        </is>
      </c>
      <c r="M68" t="inlineStr">
        <is>
          <t>JUDICIAL</t>
        </is>
      </c>
      <c r="N68" t="inlineStr">
        <is>
          <t>28/10/25</t>
        </is>
      </c>
      <c r="O68" t="inlineStr">
        <is>
          <t>OBRA APITA PARA CONSTRUÇÃO DE ACORDO PROJETO</t>
        </is>
      </c>
      <c r="P68" t="inlineStr">
        <is>
          <t>29/10/25</t>
        </is>
      </c>
      <c r="Q68" t="inlineStr">
        <is>
          <t>29/10/25</t>
        </is>
      </c>
      <c r="S68" t="inlineStr">
        <is>
          <t>N/A</t>
        </is>
      </c>
      <c r="T68" t="inlineStr">
        <is>
          <t>N/A</t>
        </is>
      </c>
      <c r="U68" t="inlineStr">
        <is>
          <t>N/A</t>
        </is>
      </c>
      <c r="V68" t="inlineStr">
        <is>
          <t>2025-135803</t>
        </is>
      </c>
      <c r="W68" t="inlineStr">
        <is>
          <t>01/12/2025</t>
        </is>
      </c>
      <c r="X68" t="inlineStr">
        <is>
          <t>N/A</t>
        </is>
      </c>
      <c r="AC68" t="inlineStr">
        <is>
          <t>1</t>
        </is>
      </c>
      <c r="AD68" t="inlineStr">
        <is>
          <t>0</t>
        </is>
      </c>
      <c r="AE68" t="inlineStr">
        <is>
          <t>4</t>
        </is>
      </c>
      <c r="AF68" t="inlineStr">
        <is>
          <t>4</t>
        </is>
      </c>
      <c r="AG68" t="inlineStr">
        <is>
          <t>4</t>
        </is>
      </c>
      <c r="AH68" t="inlineStr">
        <is>
          <t>0</t>
        </is>
      </c>
      <c r="AI68" t="inlineStr">
        <is>
          <t>100%</t>
        </is>
      </c>
      <c r="AK68" t="inlineStr">
        <is>
          <t>03/11/2025</t>
        </is>
      </c>
      <c r="AL68" t="inlineStr">
        <is>
          <t>04/11/2025</t>
        </is>
      </c>
      <c r="AN68" t="inlineStr">
        <is>
          <t>03/11/25</t>
        </is>
      </c>
      <c r="AO68" t="inlineStr">
        <is>
          <t>2025-11-5958</t>
        </is>
      </c>
      <c r="AP68" t="inlineStr">
        <is>
          <t>E549156</t>
        </is>
      </c>
      <c r="AQ68" t="inlineStr">
        <is>
          <t>-11.761734</t>
        </is>
      </c>
      <c r="AR68" t="inlineStr">
        <is>
          <t>-41.900450</t>
        </is>
      </c>
      <c r="BA68" t="inlineStr">
        <is>
          <t>IBB-01Y7</t>
        </is>
      </c>
      <c r="BB68" t="inlineStr">
        <is>
          <t>N05971</t>
        </is>
      </c>
      <c r="BI68" t="inlineStr">
        <is>
          <t>E549156</t>
        </is>
      </c>
      <c r="BK68" t="inlineStr">
        <is>
          <t>REVISADO APÓS ANÁLISE</t>
        </is>
      </c>
    </row>
    <row r="69">
      <c r="A69" t="inlineStr">
        <is>
          <t>9102345879</t>
        </is>
      </c>
      <c r="B69" t="inlineStr">
        <is>
          <t>B-1232945</t>
        </is>
      </c>
      <c r="C69" t="inlineStr">
        <is>
          <t>CRIAR</t>
        </is>
      </c>
      <c r="D69" t="inlineStr">
        <is>
          <t>CRIAR</t>
        </is>
      </c>
      <c r="E69" t="inlineStr">
        <is>
          <t>ER-CIND-POV-ALEIXO-RURAL</t>
        </is>
      </c>
      <c r="F69" t="inlineStr">
        <is>
          <t>IBIPEBA</t>
        </is>
      </c>
      <c r="G69" t="inlineStr">
        <is>
          <t>ENERGIZADA</t>
        </is>
      </c>
      <c r="I69" t="inlineStr">
        <is>
          <t>IRISMAR MARQUES SILVA - NTS493543</t>
        </is>
      </c>
      <c r="J69" t="inlineStr">
        <is>
          <t>HIAGO DE CIRQUEIRA PEREIRA - NTS449580</t>
        </is>
      </c>
      <c r="K69" t="inlineStr">
        <is>
          <t>ALINE LIMA SILVA - U468383</t>
        </is>
      </c>
      <c r="L69" t="inlineStr">
        <is>
          <t>PLANO 7 ALTERAR P/ 14</t>
        </is>
      </c>
      <c r="M69" t="inlineStr">
        <is>
          <t>JUDICIAL</t>
        </is>
      </c>
      <c r="N69" t="inlineStr">
        <is>
          <t>28/10/25</t>
        </is>
      </c>
      <c r="O69" t="inlineStr">
        <is>
          <t>OBRA APITA PARA CONSTRUÇÃO DE ACORDO PROJETO</t>
        </is>
      </c>
      <c r="P69" t="inlineStr">
        <is>
          <t>29/10/25</t>
        </is>
      </c>
      <c r="Q69" t="inlineStr">
        <is>
          <t>29/10/25</t>
        </is>
      </c>
      <c r="S69" t="inlineStr">
        <is>
          <t>N/A</t>
        </is>
      </c>
      <c r="T69" t="inlineStr">
        <is>
          <t>N/A</t>
        </is>
      </c>
      <c r="U69" t="inlineStr">
        <is>
          <t>N/A</t>
        </is>
      </c>
      <c r="V69" t="inlineStr">
        <is>
          <t>2025-135805</t>
        </is>
      </c>
      <c r="W69" t="inlineStr">
        <is>
          <t>01/12/2025</t>
        </is>
      </c>
      <c r="X69" t="inlineStr">
        <is>
          <t>N/A</t>
        </is>
      </c>
      <c r="AA69" t="inlineStr">
        <is>
          <t>1042199</t>
        </is>
      </c>
      <c r="AB69" t="inlineStr">
        <is>
          <t>E905895 AO E905902</t>
        </is>
      </c>
      <c r="AC69" t="inlineStr">
        <is>
          <t>5</t>
        </is>
      </c>
      <c r="AD69" t="inlineStr">
        <is>
          <t>4</t>
        </is>
      </c>
      <c r="AE69" t="inlineStr">
        <is>
          <t>8</t>
        </is>
      </c>
      <c r="AF69" t="inlineStr">
        <is>
          <t>8</t>
        </is>
      </c>
      <c r="AG69" t="inlineStr">
        <is>
          <t>8</t>
        </is>
      </c>
      <c r="AH69" t="inlineStr">
        <is>
          <t>0</t>
        </is>
      </c>
      <c r="AI69" t="inlineStr">
        <is>
          <t>100%</t>
        </is>
      </c>
      <c r="AK69" t="inlineStr">
        <is>
          <t>05/11/2025</t>
        </is>
      </c>
      <c r="AL69" t="inlineStr">
        <is>
          <t>11/11/2025</t>
        </is>
      </c>
      <c r="AN69" t="inlineStr">
        <is>
          <t>05/11/25</t>
        </is>
      </c>
      <c r="AO69" t="inlineStr">
        <is>
          <t>2025-11-12205</t>
        </is>
      </c>
      <c r="AP69" t="inlineStr">
        <is>
          <t>E788145</t>
        </is>
      </c>
      <c r="AQ69" t="inlineStr">
        <is>
          <t>-11.662674</t>
        </is>
      </c>
      <c r="AR69" t="inlineStr">
        <is>
          <t>-42.010983</t>
        </is>
      </c>
      <c r="BA69" t="inlineStr">
        <is>
          <t>IBB-01Y7</t>
        </is>
      </c>
      <c r="BB69" t="inlineStr">
        <is>
          <t>E22379</t>
        </is>
      </c>
      <c r="BI69" t="inlineStr">
        <is>
          <t>E788145</t>
        </is>
      </c>
      <c r="BK69" t="inlineStr">
        <is>
          <t>REVISADO APÓS ANÁLISE</t>
        </is>
      </c>
    </row>
    <row r="70">
      <c r="B70" t="inlineStr">
        <is>
          <t>B-1052871</t>
        </is>
      </c>
      <c r="E70" t="inlineStr">
        <is>
          <t>MP-CCOL-ET-MORRO DO HIGINO-RURAL</t>
        </is>
      </c>
      <c r="F70" t="inlineStr">
        <is>
          <t>JUSSARA</t>
        </is>
      </c>
      <c r="G70" t="inlineStr">
        <is>
          <t>PROGRAMADA</t>
        </is>
      </c>
      <c r="J70" t="inlineStr">
        <is>
          <t>#N/A</t>
        </is>
      </c>
      <c r="K70" t="inlineStr">
        <is>
          <t>JARBAS LIMA VIEIRA - U348612</t>
        </is>
      </c>
      <c r="L70" t="inlineStr">
        <is>
          <t>PLANO 14</t>
        </is>
      </c>
      <c r="M70" t="inlineStr">
        <is>
          <t>JUDICIAL</t>
        </is>
      </c>
      <c r="N70" t="inlineStr">
        <is>
          <t>04/11/25</t>
        </is>
      </c>
      <c r="O70" t="inlineStr">
        <is>
          <t>INTERCALAR POSTE 11600 CONFORME PROJETO.</t>
        </is>
      </c>
      <c r="P70" t="inlineStr">
        <is>
          <t>05/11/25</t>
        </is>
      </c>
      <c r="S70" t="inlineStr">
        <is>
          <t>CRIAR</t>
        </is>
      </c>
      <c r="U70" t="inlineStr">
        <is>
          <t>N/A</t>
        </is>
      </c>
      <c r="V70" t="inlineStr">
        <is>
          <t>CRIAR</t>
        </is>
      </c>
      <c r="X70" t="inlineStr">
        <is>
          <t>N/A</t>
        </is>
      </c>
      <c r="AA70" t="inlineStr">
        <is>
          <t>1042729</t>
        </is>
      </c>
      <c r="AB70" t="inlineStr">
        <is>
          <t>E910216 AO E910241</t>
        </is>
      </c>
      <c r="AE70" t="inlineStr">
        <is>
          <t>26</t>
        </is>
      </c>
      <c r="AH70" t="inlineStr">
        <is>
          <t>26</t>
        </is>
      </c>
      <c r="AI70" t="inlineStr">
        <is>
          <t>0%</t>
        </is>
      </c>
      <c r="AJ70" t="inlineStr">
        <is>
          <t>90,00%</t>
        </is>
      </c>
      <c r="AP70" t="inlineStr">
        <is>
          <t>Q183512</t>
        </is>
      </c>
      <c r="AQ70" t="inlineStr">
        <is>
          <t>-11.140086</t>
        </is>
      </c>
      <c r="AR70" t="inlineStr">
        <is>
          <t>-41.966723</t>
        </is>
      </c>
      <c r="AU70" t="inlineStr">
        <is>
          <t>#N/A</t>
        </is>
      </c>
      <c r="BA70" t="inlineStr">
        <is>
          <t>IRC-01L7</t>
        </is>
      </c>
      <c r="BB70" t="inlineStr">
        <is>
          <t>J08964</t>
        </is>
      </c>
      <c r="BI70" t="inlineStr">
        <is>
          <t>Q182811</t>
        </is>
      </c>
      <c r="BJ70" t="inlineStr">
        <is>
          <t>INTERCALAR POSTE AT COM N4-3 ENTRE OS PG: Q182811 - Q182812,   FECHAR CHAVE NOVA PRÓXIMO AO PG: Q182811 E ENERGIZAR OBRA.</t>
        </is>
      </c>
      <c r="BK70" t="inlineStr">
        <is>
          <t>.</t>
        </is>
      </c>
    </row>
    <row r="71">
      <c r="B71" t="inlineStr">
        <is>
          <t>B-1076231</t>
        </is>
      </c>
      <c r="E71" t="inlineStr">
        <is>
          <t>MP-CCOL - ET XIQUE XIQUE A BARRA RURAL</t>
        </is>
      </c>
      <c r="F71" t="inlineStr">
        <is>
          <t>XIQUE-XIQUE</t>
        </is>
      </c>
      <c r="G71" t="inlineStr">
        <is>
          <t>CANCELADA</t>
        </is>
      </c>
      <c r="H71" t="inlineStr">
        <is>
          <t>POSSIVELMENTE CONSTRUIDA , RETIRAR DA CARTEIRA</t>
        </is>
      </c>
      <c r="J71" t="inlineStr">
        <is>
          <t>#N/A</t>
        </is>
      </c>
      <c r="K71" t="inlineStr">
        <is>
          <t xml:space="preserve">JOSE EDUARDO - U468835 </t>
        </is>
      </c>
      <c r="L71" t="inlineStr">
        <is>
          <t>PLANO 7</t>
        </is>
      </c>
      <c r="M71" t="inlineStr">
        <is>
          <t>QLP</t>
        </is>
      </c>
      <c r="X71" t="inlineStr">
        <is>
          <t>N/A</t>
        </is>
      </c>
      <c r="AE71" t="inlineStr">
        <is>
          <t>47</t>
        </is>
      </c>
      <c r="AH71" t="inlineStr">
        <is>
          <t>0</t>
        </is>
      </c>
      <c r="AI71" t="inlineStr">
        <is>
          <t>0%</t>
        </is>
      </c>
      <c r="AJ71" t="inlineStr">
        <is>
          <t>90,00%</t>
        </is>
      </c>
      <c r="AP71" t="inlineStr">
        <is>
          <t>B668042</t>
        </is>
      </c>
      <c r="AQ71" t="inlineStr">
        <is>
          <t>-10.980317</t>
        </is>
      </c>
      <c r="AR71" t="inlineStr">
        <is>
          <t>-42.722359</t>
        </is>
      </c>
      <c r="BA71" t="inlineStr">
        <is>
          <t>XIQ-09V2</t>
        </is>
      </c>
      <c r="BB71" t="inlineStr">
        <is>
          <t>G37716</t>
        </is>
      </c>
      <c r="BI71" t="inlineStr">
        <is>
          <t>B668041</t>
        </is>
      </c>
      <c r="BJ71" t="inlineStr">
        <is>
          <t>ALTERAR ESTRUTURA DE N3 P/ N4 NO PG: B668041, FECHAR CHAVE NOVA PRÓXIMO AO PG: B668041 E ENERGIZAR OBRA.</t>
        </is>
      </c>
      <c r="BK71" t="inlineStr">
        <is>
          <t>.</t>
        </is>
      </c>
    </row>
    <row r="72">
      <c r="B72" t="inlineStr">
        <is>
          <t>B-1201802</t>
        </is>
      </c>
      <c r="E72" t="inlineStr">
        <is>
          <t>RR-CIND-FAZ-PAU DARCO-RURAL</t>
        </is>
      </c>
      <c r="F72" t="inlineStr">
        <is>
          <t>LAPÃO</t>
        </is>
      </c>
      <c r="G72" t="inlineStr">
        <is>
          <t>PROGRAMADA</t>
        </is>
      </c>
      <c r="I72" t="inlineStr">
        <is>
          <t>GIORLAN EVANGELISTA SOUZA - NTS063576</t>
        </is>
      </c>
      <c r="J72" t="inlineStr">
        <is>
          <t>RENATO ALVES DE OLIVEIRA GONCALVES - NTS467500</t>
        </is>
      </c>
      <c r="K72" t="inlineStr">
        <is>
          <t xml:space="preserve">JHONATAN MARANHAO - U617542 </t>
        </is>
      </c>
      <c r="L72" t="inlineStr">
        <is>
          <t>PLANO 7</t>
        </is>
      </c>
      <c r="M72" t="inlineStr">
        <is>
          <t>QLP</t>
        </is>
      </c>
      <c r="N72" t="inlineStr">
        <is>
          <t>04/11/25</t>
        </is>
      </c>
      <c r="O72" t="inlineStr">
        <is>
          <t>ENCABEÇAR REDE CONFORME PROJETO.</t>
        </is>
      </c>
      <c r="P72" t="inlineStr">
        <is>
          <t>04/11/25</t>
        </is>
      </c>
      <c r="Q72" t="inlineStr">
        <is>
          <t>05/11/25</t>
        </is>
      </c>
      <c r="S72" t="inlineStr">
        <is>
          <t>2025-140375</t>
        </is>
      </c>
      <c r="U72" t="inlineStr">
        <is>
          <t>N/A</t>
        </is>
      </c>
      <c r="V72" t="inlineStr">
        <is>
          <t>2025-140430</t>
        </is>
      </c>
      <c r="X72" t="inlineStr">
        <is>
          <t>N/A</t>
        </is>
      </c>
      <c r="AA72" t="inlineStr">
        <is>
          <t>1042731</t>
        </is>
      </c>
      <c r="AB72" t="inlineStr">
        <is>
          <t>E910242 AO E910260
E815282 AO E815286</t>
        </is>
      </c>
      <c r="AC72" t="inlineStr">
        <is>
          <t>2</t>
        </is>
      </c>
      <c r="AE72" t="inlineStr">
        <is>
          <t>24</t>
        </is>
      </c>
      <c r="AH72" t="inlineStr">
        <is>
          <t>24</t>
        </is>
      </c>
      <c r="AI72" t="inlineStr">
        <is>
          <t>0%</t>
        </is>
      </c>
      <c r="AJ72" t="inlineStr">
        <is>
          <t>90,00%</t>
        </is>
      </c>
      <c r="AP72" t="inlineStr">
        <is>
          <t>B896862</t>
        </is>
      </c>
      <c r="AQ72" t="inlineStr">
        <is>
          <t>-11,425907</t>
        </is>
      </c>
      <c r="AR72" t="inlineStr">
        <is>
          <t>-41,786496</t>
        </is>
      </c>
      <c r="AU72" t="inlineStr">
        <is>
          <t>2338</t>
        </is>
      </c>
      <c r="AW72" t="inlineStr">
        <is>
          <t>0,56</t>
        </is>
      </c>
      <c r="BA72" t="inlineStr">
        <is>
          <t>IAS-01M1</t>
        </is>
      </c>
      <c r="BB72" t="inlineStr">
        <is>
          <t>V47712</t>
        </is>
      </c>
      <c r="BI72" t="inlineStr">
        <is>
          <t>B896863</t>
        </is>
      </c>
      <c r="BJ72" t="inlineStr">
        <is>
          <t>ALTERAR ESTRUTURA DE N3 P/ N4  NO PG: B896863, FECHAR CHAVE NOVA PRÓXIMO AO PG: B099445 E ENERGIZAR OBRA.</t>
        </is>
      </c>
      <c r="BK72" t="inlineStr">
        <is>
          <t>.</t>
        </is>
      </c>
    </row>
    <row r="73">
      <c r="B73" t="inlineStr">
        <is>
          <t>B-1232634</t>
        </is>
      </c>
      <c r="E73" t="inlineStr">
        <is>
          <t>ER-CIND-POV-BEBEDOURO DE ALMAS-ALMAS</t>
        </is>
      </c>
      <c r="F73" t="inlineStr">
        <is>
          <t>ITAGUAÇU DA BAHIA</t>
        </is>
      </c>
      <c r="G73" t="inlineStr">
        <is>
          <t>PROGRAMADA</t>
        </is>
      </c>
      <c r="J73" t="inlineStr">
        <is>
          <t>#N/A</t>
        </is>
      </c>
      <c r="K73" t="inlineStr">
        <is>
          <t xml:space="preserve">JOSE EDUARDO - U468835 </t>
        </is>
      </c>
      <c r="L73" t="inlineStr">
        <is>
          <t>PLANO 7</t>
        </is>
      </c>
      <c r="M73" t="inlineStr">
        <is>
          <t>QLP</t>
        </is>
      </c>
      <c r="N73" t="inlineStr">
        <is>
          <t>04/11/25</t>
        </is>
      </c>
      <c r="O73" t="inlineStr">
        <is>
          <t>OBRA APITA PARA CONSTRUÇÃO.</t>
        </is>
      </c>
      <c r="P73" t="inlineStr">
        <is>
          <t>05/11/25</t>
        </is>
      </c>
      <c r="Q73" t="inlineStr">
        <is>
          <t>06/11</t>
        </is>
      </c>
      <c r="S73" t="inlineStr">
        <is>
          <t>CRIAR</t>
        </is>
      </c>
      <c r="U73" t="inlineStr">
        <is>
          <t>N/A</t>
        </is>
      </c>
      <c r="V73" t="inlineStr">
        <is>
          <t>CRIAR</t>
        </is>
      </c>
      <c r="X73" t="inlineStr">
        <is>
          <t>N/A</t>
        </is>
      </c>
      <c r="AA73" t="inlineStr">
        <is>
          <t>1042732</t>
        </is>
      </c>
      <c r="AB73" t="inlineStr">
        <is>
          <t>E910261 AO E910294</t>
        </is>
      </c>
      <c r="AE73" t="inlineStr">
        <is>
          <t>34</t>
        </is>
      </c>
      <c r="AH73" t="inlineStr">
        <is>
          <t>34</t>
        </is>
      </c>
      <c r="AI73" t="inlineStr">
        <is>
          <t>0%</t>
        </is>
      </c>
      <c r="AJ73" t="inlineStr">
        <is>
          <t>90,00%</t>
        </is>
      </c>
      <c r="AP73" t="inlineStr">
        <is>
          <t>E738428</t>
        </is>
      </c>
      <c r="AQ73" t="inlineStr">
        <is>
          <t>-10,944534</t>
        </is>
      </c>
      <c r="AR73" t="inlineStr">
        <is>
          <t>-42,174867</t>
        </is>
      </c>
      <c r="AU73" t="inlineStr">
        <is>
          <t>#N/A</t>
        </is>
      </c>
      <c r="BA73" t="inlineStr">
        <is>
          <t>RVD-01N1</t>
        </is>
      </c>
      <c r="BB73" t="inlineStr">
        <is>
          <t>G35275</t>
        </is>
      </c>
      <c r="BI73" t="inlineStr">
        <is>
          <t>E738428</t>
        </is>
      </c>
      <c r="BJ73" t="inlineStr">
        <is>
          <t>MONTAR BANCADA COM N3 NO PG: E738428, FECHAR CHAVE NOVA PRÓXIMO AO PG: E738428 E ENERGIZAR OBRA.</t>
        </is>
      </c>
      <c r="BK73" t="inlineStr">
        <is>
          <t>.</t>
        </is>
      </c>
    </row>
    <row r="74">
      <c r="B74" t="inlineStr">
        <is>
          <t>B-1233382</t>
        </is>
      </c>
      <c r="E74" t="inlineStr">
        <is>
          <t>ER-CIND-RUA-PERNAMBUCO-RURAL</t>
        </is>
      </c>
      <c r="F74" t="inlineStr">
        <is>
          <t>LAPÃO</t>
        </is>
      </c>
      <c r="G74" t="inlineStr">
        <is>
          <t>PROGRAMADA</t>
        </is>
      </c>
      <c r="J74" t="inlineStr">
        <is>
          <t>#N/A</t>
        </is>
      </c>
      <c r="K74" t="inlineStr">
        <is>
          <t xml:space="preserve">JHONATAN MARANHAO - U617542 </t>
        </is>
      </c>
      <c r="L74" t="inlineStr">
        <is>
          <t>PLANO 7</t>
        </is>
      </c>
      <c r="M74" t="inlineStr">
        <is>
          <t>QLP</t>
        </is>
      </c>
      <c r="N74" t="inlineStr">
        <is>
          <t>04/11/25</t>
        </is>
      </c>
      <c r="O74" t="inlineStr">
        <is>
          <t xml:space="preserve">ENCABEÇAR REDE CONFORME PROJETO. </t>
        </is>
      </c>
      <c r="P74" t="inlineStr">
        <is>
          <t>04/11/25</t>
        </is>
      </c>
      <c r="Q74" t="inlineStr">
        <is>
          <t>05/11</t>
        </is>
      </c>
      <c r="S74" t="inlineStr">
        <is>
          <t>CRIAR</t>
        </is>
      </c>
      <c r="U74" t="inlineStr">
        <is>
          <t>N/A</t>
        </is>
      </c>
      <c r="V74" t="inlineStr">
        <is>
          <t>CRIAR</t>
        </is>
      </c>
      <c r="X74" t="inlineStr">
        <is>
          <t>N/A</t>
        </is>
      </c>
      <c r="AA74" t="inlineStr">
        <is>
          <t>1042736</t>
        </is>
      </c>
      <c r="AB74" t="inlineStr">
        <is>
          <t>E910295 AO E910325</t>
        </is>
      </c>
      <c r="AE74" t="inlineStr">
        <is>
          <t>31</t>
        </is>
      </c>
      <c r="AH74" t="inlineStr">
        <is>
          <t>31</t>
        </is>
      </c>
      <c r="AI74" t="inlineStr">
        <is>
          <t>0%</t>
        </is>
      </c>
      <c r="AJ74" t="inlineStr">
        <is>
          <t>90,00%</t>
        </is>
      </c>
      <c r="AP74" t="inlineStr">
        <is>
          <t>E851848</t>
        </is>
      </c>
      <c r="AQ74" t="inlineStr">
        <is>
          <t>-11,531419</t>
        </is>
      </c>
      <c r="AR74" t="inlineStr">
        <is>
          <t>-41,778071</t>
        </is>
      </c>
      <c r="AU74" t="inlineStr">
        <is>
          <t>#N/A</t>
        </is>
      </c>
      <c r="BA74" t="inlineStr">
        <is>
          <t>IAS-01M4</t>
        </is>
      </c>
      <c r="BB74" t="inlineStr">
        <is>
          <t>E75221</t>
        </is>
      </c>
      <c r="BI74" t="inlineStr">
        <is>
          <t>E851848</t>
        </is>
      </c>
      <c r="BJ74" t="inlineStr">
        <is>
          <t>ALTERAR ESTRUTURA DE N3 P/ N4 NO PG: E851848, FECHAR CHAVE NOVA PRÓXIMO AO PG: E851848 E ENERGIZAR OBRA.</t>
        </is>
      </c>
      <c r="BK74" t="inlineStr">
        <is>
          <t>.</t>
        </is>
      </c>
    </row>
    <row r="75">
      <c r="B75" t="inlineStr">
        <is>
          <t>B-1233067</t>
        </is>
      </c>
      <c r="E75" t="inlineStr">
        <is>
          <t>ER-CIND-FAZ-LAGOA DA SERRA-RURAL MOD</t>
        </is>
      </c>
      <c r="F75" t="inlineStr">
        <is>
          <t>MORRO DO CHAPÉU</t>
        </is>
      </c>
      <c r="G75" t="inlineStr">
        <is>
          <t>PROGRAMADA</t>
        </is>
      </c>
      <c r="H75" t="inlineStr">
        <is>
          <t>SEM MAGNÉTICO
OBRA CARTEIRA DEZ/25 - EXECUÇÃO ANTECIPADA</t>
        </is>
      </c>
      <c r="J75" t="inlineStr">
        <is>
          <t>#N/A</t>
        </is>
      </c>
      <c r="K75" t="inlineStr">
        <is>
          <t xml:space="preserve">JOSE EDUARDO - U468835 </t>
        </is>
      </c>
      <c r="L75" t="inlineStr">
        <is>
          <t>PLANO 7</t>
        </is>
      </c>
      <c r="M75" t="inlineStr">
        <is>
          <t>QLP</t>
        </is>
      </c>
      <c r="S75" t="inlineStr">
        <is>
          <t>S/ MAGNÉTICO</t>
        </is>
      </c>
      <c r="V75" t="inlineStr">
        <is>
          <t>S/ MAGNÉTICO</t>
        </is>
      </c>
      <c r="AA75" t="inlineStr">
        <is>
          <t>CRIAR</t>
        </is>
      </c>
      <c r="AE75" t="inlineStr">
        <is>
          <t>53</t>
        </is>
      </c>
      <c r="AH75" t="inlineStr">
        <is>
          <t>53</t>
        </is>
      </c>
      <c r="AI75" t="inlineStr">
        <is>
          <t>0%</t>
        </is>
      </c>
      <c r="AU75" t="inlineStr">
        <is>
          <t>#N/A</t>
        </is>
      </c>
      <c r="BK75" t="inlineStr">
        <is>
          <t>.</t>
        </is>
      </c>
    </row>
    <row r="76">
      <c r="B76" t="inlineStr">
        <is>
          <t>B-1233352</t>
        </is>
      </c>
      <c r="E76" t="inlineStr">
        <is>
          <t>ER-CIND-POV-FELIX-RURAL</t>
        </is>
      </c>
      <c r="F76" t="inlineStr">
        <is>
          <t>AMÉRICA DOURADA</t>
        </is>
      </c>
      <c r="G76" t="inlineStr">
        <is>
          <t>PROGRAMADA</t>
        </is>
      </c>
      <c r="H76" t="inlineStr">
        <is>
          <t>SEM MAGNÉTICO / LEVANTAMENTO</t>
        </is>
      </c>
      <c r="J76" t="inlineStr">
        <is>
          <t>#N/A</t>
        </is>
      </c>
      <c r="K76" t="inlineStr">
        <is>
          <t xml:space="preserve">JOSE EDUARDO - U468835 </t>
        </is>
      </c>
      <c r="L76" t="inlineStr">
        <is>
          <t>PLANO 7</t>
        </is>
      </c>
      <c r="M76" t="inlineStr">
        <is>
          <t>QLP</t>
        </is>
      </c>
      <c r="N76" t="inlineStr">
        <is>
          <t>05/11/25</t>
        </is>
      </c>
      <c r="O76" t="inlineStr">
        <is>
          <t>INTERCALAR POSTE 11/600N1-3 CONFORME PROJETO</t>
        </is>
      </c>
      <c r="P76" t="inlineStr">
        <is>
          <t>05/11/25</t>
        </is>
      </c>
      <c r="Q76" t="inlineStr">
        <is>
          <t>06/11/25</t>
        </is>
      </c>
      <c r="S76" t="inlineStr">
        <is>
          <t>CRIAR</t>
        </is>
      </c>
      <c r="U76" t="inlineStr">
        <is>
          <t>N/A</t>
        </is>
      </c>
      <c r="V76" t="inlineStr">
        <is>
          <t>CRIAR</t>
        </is>
      </c>
      <c r="X76" t="inlineStr">
        <is>
          <t>N/A</t>
        </is>
      </c>
      <c r="AA76" t="inlineStr">
        <is>
          <t>1042741</t>
        </is>
      </c>
      <c r="AB76" t="inlineStr">
        <is>
          <t>E910326 AO E910367</t>
        </is>
      </c>
      <c r="AE76" t="inlineStr">
        <is>
          <t>41</t>
        </is>
      </c>
      <c r="AH76" t="inlineStr">
        <is>
          <t>41</t>
        </is>
      </c>
      <c r="AI76" t="inlineStr">
        <is>
          <t>0%</t>
        </is>
      </c>
      <c r="AJ76" t="inlineStr">
        <is>
          <t>90,00%</t>
        </is>
      </c>
      <c r="AP76" t="inlineStr">
        <is>
          <t>D065549</t>
        </is>
      </c>
      <c r="AQ76" t="inlineStr">
        <is>
          <t>-11,368254</t>
        </is>
      </c>
      <c r="AR76" t="inlineStr">
        <is>
          <t>-41,420982</t>
        </is>
      </c>
      <c r="BA76" t="inlineStr">
        <is>
          <t>AMD-01N2</t>
        </is>
      </c>
      <c r="BB76" t="inlineStr">
        <is>
          <t>J53770</t>
        </is>
      </c>
      <c r="BI76" t="inlineStr">
        <is>
          <t>D065549</t>
        </is>
      </c>
      <c r="BJ76" t="inlineStr">
        <is>
          <t>INTERCALAR POSTE AT COM N1-3 ENTRE OS PG: D065549 - D065550, FECHAR CHAVE NOVA PRÓXIMO AO PG: D065549  E ENERGIZAR OBRA.</t>
        </is>
      </c>
      <c r="BK76" t="inlineStr">
        <is>
          <t>.</t>
        </is>
      </c>
    </row>
    <row r="77">
      <c r="B77" t="inlineStr">
        <is>
          <t>B-1062322</t>
        </is>
      </c>
      <c r="E77" t="inlineStr">
        <is>
          <t>IS-DIST-POV CANARINA-RURAL</t>
        </is>
      </c>
      <c r="F77" t="inlineStr">
        <is>
          <t>BARRA DO MENDES</t>
        </is>
      </c>
      <c r="G77" t="inlineStr">
        <is>
          <t>PROGRAMADA</t>
        </is>
      </c>
      <c r="H77" t="inlineStr">
        <is>
          <t>OBRA CARTEIRA DEZ/25 - EXECUÇÃO ANTECIPADA</t>
        </is>
      </c>
      <c r="J77" t="inlineStr">
        <is>
          <t>#N/A</t>
        </is>
      </c>
      <c r="K77" t="inlineStr">
        <is>
          <t>ALINE LIMA SILVA - U468383</t>
        </is>
      </c>
      <c r="L77" t="inlineStr">
        <is>
          <t>PLANO 7</t>
        </is>
      </c>
      <c r="M77" t="inlineStr">
        <is>
          <t>INTERV SEGURANÇA</t>
        </is>
      </c>
      <c r="N77" t="inlineStr">
        <is>
          <t>06/10/25</t>
        </is>
      </c>
      <c r="O77" t="inlineStr">
        <is>
          <t>REMOVER A REDE DE CIMA DAS CASAS CONFORME PROJETO.</t>
        </is>
      </c>
      <c r="P77" t="inlineStr">
        <is>
          <t>07/11/25</t>
        </is>
      </c>
      <c r="Q77" t="inlineStr">
        <is>
          <t>07/11</t>
        </is>
      </c>
      <c r="S77" t="inlineStr">
        <is>
          <t>CRIAR</t>
        </is>
      </c>
      <c r="U77" t="inlineStr">
        <is>
          <t>N/A</t>
        </is>
      </c>
      <c r="V77" t="inlineStr">
        <is>
          <t>CRIAR</t>
        </is>
      </c>
      <c r="X77" t="inlineStr">
        <is>
          <t>CRIAR</t>
        </is>
      </c>
      <c r="Z77" t="inlineStr">
        <is>
          <t>SOLICITAR</t>
        </is>
      </c>
      <c r="AE77" t="inlineStr">
        <is>
          <t>5</t>
        </is>
      </c>
      <c r="AH77" t="inlineStr">
        <is>
          <t>5</t>
        </is>
      </c>
      <c r="AI77" t="inlineStr">
        <is>
          <t>0%</t>
        </is>
      </c>
      <c r="AP77" t="inlineStr">
        <is>
          <t>Q121587</t>
        </is>
      </c>
      <c r="AQ77" t="inlineStr">
        <is>
          <t>-12.215743</t>
        </is>
      </c>
      <c r="AR77" t="inlineStr">
        <is>
          <t>-42.01724</t>
        </is>
      </c>
      <c r="BA77" t="inlineStr">
        <is>
          <t>SEA-01X3</t>
        </is>
      </c>
      <c r="BB77" t="inlineStr">
        <is>
          <t>G00304</t>
        </is>
      </c>
      <c r="BI77" t="inlineStr">
        <is>
          <t>Q121587</t>
        </is>
      </c>
      <c r="BJ77" t="inlineStr">
        <is>
          <t>INTERCALAR POSTE AT COM N4 ENTRE OS PG: Q121587 - Q121588, E ENERGIZAR OBRA.</t>
        </is>
      </c>
      <c r="BK77" t="inlineStr">
        <is>
          <t>.</t>
        </is>
      </c>
    </row>
    <row r="78">
      <c r="B78" t="inlineStr">
        <is>
          <t>B-0979203</t>
        </is>
      </c>
      <c r="E78" t="inlineStr">
        <is>
          <t>UB-CIND-AVN JOÃO DURVAL CARNEIRO-GAMELEI</t>
        </is>
      </c>
      <c r="F78" t="inlineStr">
        <is>
          <t>BARRO ALTO</t>
        </is>
      </c>
      <c r="G78" t="inlineStr">
        <is>
          <t>PROGRAMADA</t>
        </is>
      </c>
      <c r="H78" t="inlineStr">
        <is>
          <t>OBRA CARTEIRA DEZ/25 - APARENTIMENTE JÁ EXECUTADA</t>
        </is>
      </c>
      <c r="J78" t="inlineStr">
        <is>
          <t>#N/A</t>
        </is>
      </c>
      <c r="K78" t="inlineStr">
        <is>
          <t>ALINE LIMA SILVA - U468383</t>
        </is>
      </c>
      <c r="L78" t="inlineStr">
        <is>
          <t>PLANO 7</t>
        </is>
      </c>
      <c r="M78" t="inlineStr">
        <is>
          <t>QLP</t>
        </is>
      </c>
      <c r="S78" t="inlineStr">
        <is>
          <t>CRIAR</t>
        </is>
      </c>
      <c r="U78" t="inlineStr">
        <is>
          <t>N/A</t>
        </is>
      </c>
      <c r="V78" t="inlineStr">
        <is>
          <t>CRIAR</t>
        </is>
      </c>
      <c r="X78" t="inlineStr">
        <is>
          <t>CRIAR</t>
        </is>
      </c>
      <c r="Z78" t="inlineStr">
        <is>
          <t>SOLICITAR</t>
        </is>
      </c>
      <c r="AE78" t="inlineStr">
        <is>
          <t>3</t>
        </is>
      </c>
      <c r="AH78" t="inlineStr">
        <is>
          <t>3</t>
        </is>
      </c>
      <c r="AI78" t="inlineStr">
        <is>
          <t>0%</t>
        </is>
      </c>
      <c r="AP78" t="inlineStr">
        <is>
          <t>A490614</t>
        </is>
      </c>
      <c r="AQ78" t="inlineStr">
        <is>
          <t>-11.909983</t>
        </is>
      </c>
      <c r="AR78" t="inlineStr">
        <is>
          <t>-41.74357</t>
        </is>
      </c>
      <c r="BA78" t="inlineStr">
        <is>
          <t>MGM-09Z3</t>
        </is>
      </c>
      <c r="BB78" t="inlineStr">
        <is>
          <t>G29457</t>
        </is>
      </c>
      <c r="BI78" t="inlineStr">
        <is>
          <t>A490612</t>
        </is>
      </c>
      <c r="BJ78" t="inlineStr">
        <is>
          <t>EM CONJUNTO COM DESLIGAMENTO PARA SUBSTITUIR POSTE AT NO PG: A490612 POR POSTE 12/600  C/ TRAFO  E ENERGIZAR OBRA.</t>
        </is>
      </c>
      <c r="BK78" t="inlineStr">
        <is>
          <t>.</t>
        </is>
      </c>
    </row>
    <row r="79">
      <c r="B79" t="inlineStr">
        <is>
          <t>B-1232632</t>
        </is>
      </c>
      <c r="E79" t="inlineStr">
        <is>
          <t>ER-CIND-POV-POCO GRANDE 325-RURAL</t>
        </is>
      </c>
      <c r="F79" t="inlineStr">
        <is>
          <t>BARRA DO MENDES</t>
        </is>
      </c>
      <c r="G79" t="inlineStr">
        <is>
          <t>PROGRAMADA</t>
        </is>
      </c>
      <c r="H79" t="inlineStr">
        <is>
          <t>OBRA CARTEIRA DEZ/25 - EXECUÇÃO ANTECIPADA</t>
        </is>
      </c>
      <c r="J79" t="inlineStr">
        <is>
          <t>#N/A</t>
        </is>
      </c>
      <c r="K79" t="inlineStr">
        <is>
          <t>ALINE LIMA SILVA - U468383</t>
        </is>
      </c>
      <c r="L79" t="inlineStr">
        <is>
          <t>PLANO 7</t>
        </is>
      </c>
      <c r="M79" t="inlineStr">
        <is>
          <t>QLP</t>
        </is>
      </c>
      <c r="N79" t="inlineStr">
        <is>
          <t>06/10/25</t>
        </is>
      </c>
      <c r="O79" t="inlineStr">
        <is>
          <t>ENCABEÇAR REDE CONFORME PROJETO. APENAS ROLDANA, ALÇA E CONECTORES.</t>
        </is>
      </c>
      <c r="P79" t="inlineStr">
        <is>
          <t>07/11/25</t>
        </is>
      </c>
      <c r="S79" t="inlineStr">
        <is>
          <t>N/A</t>
        </is>
      </c>
      <c r="T79" t="inlineStr">
        <is>
          <t>N/A</t>
        </is>
      </c>
      <c r="U79" t="inlineStr">
        <is>
          <t>N/A</t>
        </is>
      </c>
      <c r="V79" t="inlineStr">
        <is>
          <t>CRIAR</t>
        </is>
      </c>
      <c r="X79" t="inlineStr">
        <is>
          <t>N/A</t>
        </is>
      </c>
      <c r="AE79" t="inlineStr">
        <is>
          <t>3</t>
        </is>
      </c>
      <c r="AH79" t="inlineStr">
        <is>
          <t>3</t>
        </is>
      </c>
      <c r="AI79" t="inlineStr">
        <is>
          <t>0%</t>
        </is>
      </c>
      <c r="AP79" t="inlineStr">
        <is>
          <t>D689421</t>
        </is>
      </c>
      <c r="AQ79" t="inlineStr">
        <is>
          <t>-11.920686</t>
        </is>
      </c>
      <c r="AR79" t="inlineStr">
        <is>
          <t>-42.03913</t>
        </is>
      </c>
      <c r="BA79" t="inlineStr">
        <is>
          <t>IBB-01Y2</t>
        </is>
      </c>
      <c r="BB79" t="inlineStr">
        <is>
          <t>N36599</t>
        </is>
      </c>
      <c r="BI79" t="inlineStr">
        <is>
          <t>D689421</t>
        </is>
      </c>
      <c r="BJ79" t="inlineStr">
        <is>
          <t>ENCABEÇAR RD BT NO PG: D689421 E ENERGIZAR OBRA.</t>
        </is>
      </c>
      <c r="BK79" t="inlineStr">
        <is>
          <t>.</t>
        </is>
      </c>
    </row>
    <row r="80">
      <c r="B80" t="inlineStr">
        <is>
          <t>B-1232761</t>
        </is>
      </c>
      <c r="E80" t="inlineStr">
        <is>
          <t>ER-CIND-RUA-JUSCELIA-CONQUISTA</t>
        </is>
      </c>
      <c r="F80" t="inlineStr">
        <is>
          <t>CAFARNAUM</t>
        </is>
      </c>
      <c r="G80" t="inlineStr">
        <is>
          <t>PROGRAMADA</t>
        </is>
      </c>
      <c r="H80" t="inlineStr">
        <is>
          <t>OBRA CARTEIRA DEZ/25 - EXECUÇÃO ANTECIPADA</t>
        </is>
      </c>
      <c r="J80" t="inlineStr">
        <is>
          <t>#N/A</t>
        </is>
      </c>
      <c r="K80" t="inlineStr">
        <is>
          <t>MANOEL MESSIAS ALENCAR - U359765</t>
        </is>
      </c>
      <c r="L80" t="inlineStr">
        <is>
          <t>PLANO 7</t>
        </is>
      </c>
      <c r="M80" t="inlineStr">
        <is>
          <t>QLP</t>
        </is>
      </c>
      <c r="N80" t="inlineStr">
        <is>
          <t>05/11/25</t>
        </is>
      </c>
      <c r="O80" t="inlineStr">
        <is>
          <t>OBRA APITAR PARA CONSTRUÇÃO CONFORME PROJETO</t>
        </is>
      </c>
      <c r="P80" t="inlineStr">
        <is>
          <t>06/11/25</t>
        </is>
      </c>
      <c r="S80" t="inlineStr">
        <is>
          <t>N/A</t>
        </is>
      </c>
      <c r="T80" t="inlineStr">
        <is>
          <t>N/A</t>
        </is>
      </c>
      <c r="U80" t="inlineStr">
        <is>
          <t>N/A</t>
        </is>
      </c>
      <c r="V80" t="inlineStr">
        <is>
          <t>CRIAR</t>
        </is>
      </c>
      <c r="X80" t="inlineStr">
        <is>
          <t>N/A</t>
        </is>
      </c>
      <c r="AE80" t="inlineStr">
        <is>
          <t>3</t>
        </is>
      </c>
      <c r="AH80" t="inlineStr">
        <is>
          <t>3</t>
        </is>
      </c>
      <c r="AI80" t="inlineStr">
        <is>
          <t>0%</t>
        </is>
      </c>
      <c r="AP80" t="inlineStr">
        <is>
          <t>D080061</t>
        </is>
      </c>
      <c r="AQ80" t="inlineStr">
        <is>
          <t>-11,817043</t>
        </is>
      </c>
      <c r="AR80" t="inlineStr">
        <is>
          <t>-41,506068</t>
        </is>
      </c>
      <c r="BA80" t="inlineStr">
        <is>
          <t>MGM-09Z5</t>
        </is>
      </c>
      <c r="BB80" t="inlineStr">
        <is>
          <t>H35541</t>
        </is>
      </c>
      <c r="BI80" t="inlineStr">
        <is>
          <t>D080061</t>
        </is>
      </c>
      <c r="BJ80" t="inlineStr">
        <is>
          <t>ENCABEÇAR RD BT NO PG: D080061 E ENERGIZAR OBRA.</t>
        </is>
      </c>
      <c r="BK80" t="inlineStr">
        <is>
          <t>.</t>
        </is>
      </c>
    </row>
    <row r="81">
      <c r="B81" t="inlineStr">
        <is>
          <t>B-1233152</t>
        </is>
      </c>
      <c r="E81" t="inlineStr">
        <is>
          <t>ER-CIND-POV-BARAUNAS 4678-BARAUNAS</t>
        </is>
      </c>
      <c r="F81" t="inlineStr">
        <is>
          <t>CAFARNAUM</t>
        </is>
      </c>
      <c r="G81" t="inlineStr">
        <is>
          <t>PROGRAMADA</t>
        </is>
      </c>
      <c r="H81" t="inlineStr">
        <is>
          <t>OBRA CARTEIRA DEZ/25 - EXECUÇÃO ANTECIPADA</t>
        </is>
      </c>
      <c r="J81" t="inlineStr">
        <is>
          <t>#N/A</t>
        </is>
      </c>
      <c r="K81" t="inlineStr">
        <is>
          <t>MANOEL MESSIAS ALENCAR - U359765</t>
        </is>
      </c>
      <c r="L81" t="inlineStr">
        <is>
          <t>PLANO 7</t>
        </is>
      </c>
      <c r="M81" t="inlineStr">
        <is>
          <t>QLP</t>
        </is>
      </c>
      <c r="N81" t="inlineStr">
        <is>
          <t>05/11/25</t>
        </is>
      </c>
      <c r="O81" t="inlineStr">
        <is>
          <t>OBRA APITAR PARA CONSTRUÇÃO CONFORME PROJETO</t>
        </is>
      </c>
      <c r="P81" t="inlineStr">
        <is>
          <t>06/11/25</t>
        </is>
      </c>
      <c r="Q81" t="inlineStr">
        <is>
          <t>06/11/25</t>
        </is>
      </c>
      <c r="S81" t="inlineStr">
        <is>
          <t>N/A</t>
        </is>
      </c>
      <c r="T81" t="inlineStr">
        <is>
          <t>N/A</t>
        </is>
      </c>
      <c r="U81" t="inlineStr">
        <is>
          <t>N/A</t>
        </is>
      </c>
      <c r="V81" t="inlineStr">
        <is>
          <t>CRIAR</t>
        </is>
      </c>
      <c r="X81" t="inlineStr">
        <is>
          <t>N/A</t>
        </is>
      </c>
      <c r="AB81" t="inlineStr">
        <is>
          <t>E815289 AO E815290</t>
        </is>
      </c>
      <c r="AE81" t="inlineStr">
        <is>
          <t>2</t>
        </is>
      </c>
      <c r="AH81" t="inlineStr">
        <is>
          <t>2</t>
        </is>
      </c>
      <c r="AI81" t="inlineStr">
        <is>
          <t>0%</t>
        </is>
      </c>
      <c r="AP81" t="inlineStr">
        <is>
          <t>D750015</t>
        </is>
      </c>
      <c r="AQ81" t="inlineStr">
        <is>
          <t>-11,687142</t>
        </is>
      </c>
      <c r="AR81" t="inlineStr">
        <is>
          <t>-41,522492</t>
        </is>
      </c>
      <c r="BA81" t="inlineStr">
        <is>
          <t>JDO-01J1</t>
        </is>
      </c>
      <c r="BB81" t="inlineStr">
        <is>
          <t>J15677</t>
        </is>
      </c>
      <c r="BI81" t="inlineStr">
        <is>
          <t>Q123409</t>
        </is>
      </c>
      <c r="BJ81" t="inlineStr">
        <is>
          <t>ENCABEÇAR RD BT NO PG: Q123409 E ENERGIZAR OBRA.</t>
        </is>
      </c>
      <c r="BK81" t="inlineStr">
        <is>
          <t>.</t>
        </is>
      </c>
    </row>
    <row r="82">
      <c r="B82" t="inlineStr">
        <is>
          <t>B-1233323</t>
        </is>
      </c>
      <c r="E82" t="inlineStr">
        <is>
          <t>ER-CIND-RUA-PEDRO TELES-LOT CAFARNAUM</t>
        </is>
      </c>
      <c r="F82" t="inlineStr">
        <is>
          <t>CAFARNAUM</t>
        </is>
      </c>
      <c r="G82" t="inlineStr">
        <is>
          <t>PROGRAMADA</t>
        </is>
      </c>
      <c r="H82" t="inlineStr">
        <is>
          <t>OBRA CARTEIRA DEZ/25 - EXECUÇÃO ANTECIPADA</t>
        </is>
      </c>
      <c r="J82" t="inlineStr">
        <is>
          <t>#N/A</t>
        </is>
      </c>
      <c r="K82" t="inlineStr">
        <is>
          <t>MANOEL MESSIAS ALENCAR - U359765</t>
        </is>
      </c>
      <c r="L82" t="inlineStr">
        <is>
          <t>PLANO 7</t>
        </is>
      </c>
      <c r="M82" t="inlineStr">
        <is>
          <t>QLP</t>
        </is>
      </c>
      <c r="N82" t="inlineStr">
        <is>
          <t>05/11/25</t>
        </is>
      </c>
      <c r="O82" t="inlineStr">
        <is>
          <t>OBRA APITAR PARA CONSTRUÇÃO CONFORME PROJETO</t>
        </is>
      </c>
      <c r="P82" t="inlineStr">
        <is>
          <t>06/11/25</t>
        </is>
      </c>
      <c r="Q82" t="inlineStr">
        <is>
          <t>06/11/25</t>
        </is>
      </c>
      <c r="S82" t="inlineStr">
        <is>
          <t>N/A</t>
        </is>
      </c>
      <c r="T82" t="inlineStr">
        <is>
          <t>N/A</t>
        </is>
      </c>
      <c r="U82" t="inlineStr">
        <is>
          <t>N/A</t>
        </is>
      </c>
      <c r="V82" t="inlineStr">
        <is>
          <t>CRIAR</t>
        </is>
      </c>
      <c r="X82" t="inlineStr">
        <is>
          <t>N/A</t>
        </is>
      </c>
      <c r="AB82" t="inlineStr">
        <is>
          <t>E815267 AO E815268</t>
        </is>
      </c>
      <c r="AE82" t="inlineStr">
        <is>
          <t>2</t>
        </is>
      </c>
      <c r="AH82" t="inlineStr">
        <is>
          <t>2</t>
        </is>
      </c>
      <c r="AI82" t="inlineStr">
        <is>
          <t>0%</t>
        </is>
      </c>
      <c r="AP82" t="inlineStr">
        <is>
          <t>D686703</t>
        </is>
      </c>
      <c r="AQ82" t="inlineStr">
        <is>
          <t>-11,703122</t>
        </is>
      </c>
      <c r="AR82" t="inlineStr">
        <is>
          <t>-41,471645</t>
        </is>
      </c>
      <c r="BA82" t="inlineStr">
        <is>
          <t>AMD-01N1</t>
        </is>
      </c>
      <c r="BB82" t="inlineStr">
        <is>
          <t>W00500</t>
        </is>
      </c>
      <c r="BI82" t="inlineStr">
        <is>
          <t>D686703</t>
        </is>
      </c>
      <c r="BJ82" t="inlineStr">
        <is>
          <t>ENCABEÇAR RD BT NO PG: D686703 E ENERGIZAR OBRA.</t>
        </is>
      </c>
      <c r="BK82" t="inlineStr">
        <is>
          <t>.</t>
        </is>
      </c>
    </row>
    <row r="83">
      <c r="B83" t="inlineStr">
        <is>
          <t>B-1234061</t>
        </is>
      </c>
      <c r="E83" t="inlineStr">
        <is>
          <t>IT-CIND-POV-CAFARNAUNZINHO-RURAL</t>
        </is>
      </c>
      <c r="F83" t="inlineStr">
        <is>
          <t>CAFARNAUM</t>
        </is>
      </c>
      <c r="G83" t="inlineStr">
        <is>
          <t>PROGRAMADA</t>
        </is>
      </c>
      <c r="H83" t="inlineStr">
        <is>
          <t>OBRA CARTEIRA DEZ/25 - EXECUÇÃO ANTECIPADA</t>
        </is>
      </c>
      <c r="J83" t="inlineStr">
        <is>
          <t>#N/A</t>
        </is>
      </c>
      <c r="K83" t="inlineStr">
        <is>
          <t>MANOEL MESSIAS ALENCAR - U359765</t>
        </is>
      </c>
      <c r="L83" t="inlineStr">
        <is>
          <t>PLANO 7</t>
        </is>
      </c>
      <c r="M83" t="inlineStr">
        <is>
          <t>QLP</t>
        </is>
      </c>
      <c r="N83" t="inlineStr">
        <is>
          <t>05/11/25</t>
        </is>
      </c>
      <c r="O83" t="inlineStr">
        <is>
          <t>NOTA: O PONTO DE ENTREGA E DENTRO DA SUBESTAÇÃO DA CHESF._x000D_
TEM QUE AJENDAR A VISITA</t>
        </is>
      </c>
      <c r="S83" t="inlineStr">
        <is>
          <t>CRIAR</t>
        </is>
      </c>
      <c r="U83" t="inlineStr">
        <is>
          <t>N/A</t>
        </is>
      </c>
      <c r="V83" t="inlineStr">
        <is>
          <t>CRIAR</t>
        </is>
      </c>
      <c r="X83" t="inlineStr">
        <is>
          <t>N/A</t>
        </is>
      </c>
      <c r="AE83" t="inlineStr">
        <is>
          <t>1</t>
        </is>
      </c>
      <c r="AH83" t="inlineStr">
        <is>
          <t>1</t>
        </is>
      </c>
      <c r="AI83" t="inlineStr">
        <is>
          <t>0%</t>
        </is>
      </c>
      <c r="AP83" t="inlineStr">
        <is>
          <t>E163996</t>
        </is>
      </c>
      <c r="AQ83" t="inlineStr">
        <is>
          <t>-11,716316</t>
        </is>
      </c>
      <c r="AR83" t="inlineStr">
        <is>
          <t>-41,400588</t>
        </is>
      </c>
      <c r="BA83" t="inlineStr">
        <is>
          <t>AMD-01N1</t>
        </is>
      </c>
      <c r="BB83" t="inlineStr">
        <is>
          <t>V13854</t>
        </is>
      </c>
      <c r="BI83" t="inlineStr">
        <is>
          <t>E163996</t>
        </is>
      </c>
      <c r="BJ83" t="inlineStr">
        <is>
          <t>INTERCALAR POSTE AT COM N1-3 ENTRE OS PG: E163996 - E163997,  E ENERGIZAR OBRA.</t>
        </is>
      </c>
      <c r="BK83" t="inlineStr">
        <is>
          <t>.</t>
        </is>
      </c>
    </row>
    <row r="84">
      <c r="J84" t="inlineStr">
        <is>
          <t>#N/A</t>
        </is>
      </c>
    </row>
    <row r="85">
      <c r="J85" t="inlineStr">
        <is>
          <t>#N/A</t>
        </is>
      </c>
    </row>
    <row r="86">
      <c r="J86" t="inlineStr">
        <is>
          <t>#N/A</t>
        </is>
      </c>
      <c r="AH86" t="inlineStr">
        <is>
          <t>0</t>
        </is>
      </c>
      <c r="AI86" t="inlineStr">
        <is>
          <t>0%</t>
        </is>
      </c>
      <c r="AU86" t="inlineStr">
        <is>
          <t>#N/A</t>
        </is>
      </c>
    </row>
    <row r="88">
      <c r="B88" t="inlineStr">
        <is>
          <t>NÃO ELIMINAR ESTA LINHA</t>
        </is>
      </c>
      <c r="E88" t="inlineStr">
        <is>
          <t>NÃO ELIMINAR ESTA LINHA</t>
        </is>
      </c>
      <c r="BN88" t="inlineStr">
        <is>
          <t>QUADRO DE ENERGIZAÇÃO</t>
        </is>
      </c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JOAO VICTOR SANTOS ALMEIDA</dc:creator>
  <dcterms:created xsi:type="dcterms:W3CDTF">2025-10-31T10:44:17Z</dcterms:created>
  <dcterms:modified xsi:type="dcterms:W3CDTF">2025-11-08T17:54:35Z</dcterms:modified>
  <cp:lastModifiedBy>JOAO VICTOR SANTOS ALMEIDA</cp:lastModifiedBy>
</cp:coreProperties>
</file>